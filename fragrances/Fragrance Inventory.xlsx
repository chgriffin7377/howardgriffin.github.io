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cgriffin14\OneDrive - Georgia Gwinnett College\Desktop\"/>
    </mc:Choice>
  </mc:AlternateContent>
  <xr:revisionPtr revIDLastSave="0" documentId="13_ncr:1_{B4EED0A2-8464-479C-807B-AE52250F7B6F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Current Inventory" sheetId="1" r:id="rId1"/>
    <sheet name="Wishlist" sheetId="2" r:id="rId2"/>
    <sheet name="Fragrance Expenditur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1" i="3" l="1"/>
  <c r="C100" i="3"/>
  <c r="C76" i="3"/>
  <c r="C67" i="3"/>
  <c r="C60" i="3"/>
  <c r="C52" i="3"/>
  <c r="B8" i="3" l="1"/>
  <c r="B35" i="3" s="1"/>
  <c r="B43" i="3" s="1"/>
  <c r="F36" i="3"/>
  <c r="N13" i="3"/>
  <c r="B45" i="3" l="1"/>
  <c r="A48" i="3"/>
  <c r="J31" i="3"/>
  <c r="B41" i="3" s="1"/>
  <c r="B40" i="3"/>
  <c r="B21" i="3"/>
  <c r="B39" i="3" s="1"/>
  <c r="F13" i="3" l="1"/>
  <c r="B36" i="3" s="1"/>
  <c r="B38" i="3" l="1"/>
  <c r="J14" i="3"/>
  <c r="B37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Carroll Griffin</author>
  </authors>
  <commentList>
    <comment ref="A61" authorId="0" shapeId="0" xr:uid="{1DF5A9A7-93A0-422C-89E4-1DBA94B94481}">
      <text>
        <r>
          <rPr>
            <b/>
            <sz val="9"/>
            <color indexed="81"/>
            <rFont val="Tahoma"/>
            <family val="2"/>
          </rPr>
          <t>Carroll Griffin:</t>
        </r>
        <r>
          <rPr>
            <sz val="9"/>
            <color indexed="81"/>
            <rFont val="Tahoma"/>
            <family val="2"/>
          </rPr>
          <t xml:space="preserve">
See "The Perfume Guy's" video on Boozy scents.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Carroll Griffin</author>
  </authors>
  <commentList>
    <comment ref="A1" authorId="0" shapeId="0" xr:uid="{3E7C89AB-53DE-4398-B50A-F6FE6A0F436E}">
      <text>
        <r>
          <rPr>
            <b/>
            <sz val="9"/>
            <color indexed="81"/>
            <rFont val="Tahoma"/>
            <family val="2"/>
          </rPr>
          <t>Carroll Griffin:</t>
        </r>
        <r>
          <rPr>
            <sz val="9"/>
            <color indexed="81"/>
            <rFont val="Tahoma"/>
            <family val="2"/>
          </rPr>
          <t xml:space="preserve">
While this intends to be as complete as possible, it may be missing some things.
</t>
        </r>
      </text>
    </comment>
    <comment ref="F13" authorId="0" shapeId="0" xr:uid="{AA415722-C792-4070-A4CD-43E11F261DC5}">
      <text>
        <r>
          <rPr>
            <b/>
            <sz val="9"/>
            <color indexed="81"/>
            <rFont val="Tahoma"/>
            <charset val="1"/>
          </rPr>
          <t>Carroll Griffin:</t>
        </r>
        <r>
          <rPr>
            <sz val="9"/>
            <color indexed="81"/>
            <rFont val="Tahoma"/>
            <charset val="1"/>
          </rPr>
          <t xml:space="preserve">
Have recently decided that ~$3000/year will be my budget. </t>
        </r>
      </text>
    </comment>
  </commentList>
</comments>
</file>

<file path=xl/sharedStrings.xml><?xml version="1.0" encoding="utf-8"?>
<sst xmlns="http://schemas.openxmlformats.org/spreadsheetml/2006/main" count="1667" uniqueCount="685">
  <si>
    <t>House</t>
  </si>
  <si>
    <t>Scent</t>
  </si>
  <si>
    <t>Strength</t>
  </si>
  <si>
    <t>Size (oz.)</t>
  </si>
  <si>
    <t>Caron</t>
  </si>
  <si>
    <t>EDT</t>
  </si>
  <si>
    <t>Dolce &amp; Gabbana</t>
  </si>
  <si>
    <t>Pour Homme</t>
  </si>
  <si>
    <t>The One</t>
  </si>
  <si>
    <t>EDP</t>
  </si>
  <si>
    <t>Lalique</t>
  </si>
  <si>
    <t>Encre Noir</t>
  </si>
  <si>
    <t xml:space="preserve">Armani </t>
  </si>
  <si>
    <t>Bulgari</t>
  </si>
  <si>
    <t>Man in Black</t>
  </si>
  <si>
    <t>Polo</t>
  </si>
  <si>
    <t xml:space="preserve">Calvin Klein </t>
  </si>
  <si>
    <t>Light Blue- Swimming in Lipari</t>
  </si>
  <si>
    <t>Parfums de Marly</t>
  </si>
  <si>
    <t>Layton</t>
  </si>
  <si>
    <t>Rochas</t>
  </si>
  <si>
    <t>Moustache</t>
  </si>
  <si>
    <t>Halston</t>
  </si>
  <si>
    <t>Z-14</t>
  </si>
  <si>
    <t>1-12</t>
  </si>
  <si>
    <t>Azzaro</t>
  </si>
  <si>
    <t>Wanted by Night</t>
  </si>
  <si>
    <t>Bentley</t>
  </si>
  <si>
    <t>For Men Intense</t>
  </si>
  <si>
    <t>The One Gentlemen</t>
  </si>
  <si>
    <t>Safari</t>
  </si>
  <si>
    <t>Ungaro</t>
  </si>
  <si>
    <t>Pour Homme III</t>
  </si>
  <si>
    <t>Mancera</t>
  </si>
  <si>
    <t>Red Tobacco</t>
  </si>
  <si>
    <t>John Varvatos</t>
  </si>
  <si>
    <t>Dark Rebel Rider</t>
  </si>
  <si>
    <t>Roberto Cavalli</t>
  </si>
  <si>
    <t>Uomo</t>
  </si>
  <si>
    <t>Mont Blanc</t>
  </si>
  <si>
    <t>Individuel</t>
  </si>
  <si>
    <t>Acqua di Gio Profumo</t>
  </si>
  <si>
    <t>Armaf</t>
  </si>
  <si>
    <t>Club de Nuit Intense Man</t>
  </si>
  <si>
    <t>Jacques Bogart</t>
  </si>
  <si>
    <t>One Man Show</t>
  </si>
  <si>
    <t>YSL</t>
  </si>
  <si>
    <t>La Nuit de l'Homme</t>
  </si>
  <si>
    <t>Issey Miyake</t>
  </si>
  <si>
    <t>L'Eau Super Majeure</t>
  </si>
  <si>
    <t>La Nuit d'Issey</t>
  </si>
  <si>
    <t>Tommy Bahama</t>
  </si>
  <si>
    <t>EDC</t>
  </si>
  <si>
    <t>Nikos</t>
  </si>
  <si>
    <t xml:space="preserve">Sculpture </t>
  </si>
  <si>
    <t>Zihr</t>
  </si>
  <si>
    <t>Ikon</t>
  </si>
  <si>
    <t>Creed</t>
  </si>
  <si>
    <t>Mugler</t>
  </si>
  <si>
    <t>Eternity</t>
  </si>
  <si>
    <t>Yatagon</t>
  </si>
  <si>
    <t>Al Haramain</t>
  </si>
  <si>
    <t>Amber Oud Tobacco Edition</t>
  </si>
  <si>
    <t>Ferragamo</t>
  </si>
  <si>
    <t>Uomo Signature</t>
  </si>
  <si>
    <t>Artisan Pure</t>
  </si>
  <si>
    <t>Aramis</t>
  </si>
  <si>
    <t>Tobacco Reserve</t>
  </si>
  <si>
    <t>18.21 Man Made</t>
  </si>
  <si>
    <t>Sweet Tobacco Spirits</t>
  </si>
  <si>
    <t>Herod</t>
  </si>
  <si>
    <t xml:space="preserve">Dark Rebel  </t>
  </si>
  <si>
    <t>Nasomatto</t>
  </si>
  <si>
    <t>Black Afgano</t>
  </si>
  <si>
    <t>ExDP</t>
  </si>
  <si>
    <t>Ryan Richmond</t>
  </si>
  <si>
    <t>Rich Mess</t>
  </si>
  <si>
    <t>Happyland Studios</t>
  </si>
  <si>
    <t>Signature</t>
  </si>
  <si>
    <t>Aventus</t>
  </si>
  <si>
    <t>Tom Ford</t>
  </si>
  <si>
    <t>Tobacco Vanille</t>
  </si>
  <si>
    <t>Franck Boclet</t>
  </si>
  <si>
    <t>Tobacco</t>
  </si>
  <si>
    <t>Pour Homme (original)</t>
  </si>
  <si>
    <t>Havana</t>
  </si>
  <si>
    <t>Freedom</t>
  </si>
  <si>
    <t>Tommy Hilfiger</t>
  </si>
  <si>
    <t>Hindu Kush</t>
  </si>
  <si>
    <t>Versace</t>
  </si>
  <si>
    <t>Dreamer</t>
  </si>
  <si>
    <t>Giorgio Bev. Hills</t>
  </si>
  <si>
    <t>Halloween Man</t>
  </si>
  <si>
    <t>X</t>
  </si>
  <si>
    <t>Joop</t>
  </si>
  <si>
    <t>Xerjoff</t>
  </si>
  <si>
    <t>Naxos</t>
  </si>
  <si>
    <t>Guy Laroche</t>
  </si>
  <si>
    <t xml:space="preserve">Joop </t>
  </si>
  <si>
    <t>LeBain</t>
  </si>
  <si>
    <t>Animale</t>
  </si>
  <si>
    <t>Boucheron</t>
  </si>
  <si>
    <t>Rasasi</t>
  </si>
  <si>
    <t>Tobacco Blaze</t>
  </si>
  <si>
    <t>Laudano Nero</t>
  </si>
  <si>
    <t>Tiziana Terenzi</t>
  </si>
  <si>
    <t>Baraonda</t>
  </si>
  <si>
    <t>Dua</t>
  </si>
  <si>
    <t>Plum Cigarillo</t>
  </si>
  <si>
    <t>Dossier</t>
  </si>
  <si>
    <t>Frapin</t>
  </si>
  <si>
    <t>Alexandria Fragrances</t>
  </si>
  <si>
    <t>Brasilia Prive</t>
  </si>
  <si>
    <t>Brooklyn Fragrance Lover</t>
  </si>
  <si>
    <t>Egyptian Angel</t>
  </si>
  <si>
    <t>Hafez 1984</t>
  </si>
  <si>
    <t>Sweet Smoke</t>
  </si>
  <si>
    <t>The God Father</t>
  </si>
  <si>
    <t>Dark Casino Elixir</t>
  </si>
  <si>
    <t>King of Judea Attar</t>
  </si>
  <si>
    <t>Spiritus Dei</t>
  </si>
  <si>
    <t>Tabacum de Mandarino</t>
  </si>
  <si>
    <t>The Mobster</t>
  </si>
  <si>
    <t>Wood and Cognac</t>
  </si>
  <si>
    <t>Unique e' Luxury</t>
  </si>
  <si>
    <t>Kutay</t>
  </si>
  <si>
    <t>Wish List:</t>
  </si>
  <si>
    <t>Akro</t>
  </si>
  <si>
    <t>Smoke</t>
  </si>
  <si>
    <t>Malt</t>
  </si>
  <si>
    <t>Orto Parisi</t>
  </si>
  <si>
    <t>Terroni</t>
  </si>
  <si>
    <t>Imaginary Authors</t>
  </si>
  <si>
    <t>A City on Fire</t>
  </si>
  <si>
    <t>Maison Margiela</t>
  </si>
  <si>
    <t>Jazz Club</t>
  </si>
  <si>
    <t>Jovoy</t>
  </si>
  <si>
    <t>Les Jeux Sont Fait</t>
  </si>
  <si>
    <t>La Curie</t>
  </si>
  <si>
    <t>Incendo</t>
  </si>
  <si>
    <t>Pavillon Rouge</t>
  </si>
  <si>
    <t xml:space="preserve">Pure Havane </t>
  </si>
  <si>
    <t>Cremo</t>
  </si>
  <si>
    <t>Bourbon and Oak</t>
  </si>
  <si>
    <t>Distiller's Blend</t>
  </si>
  <si>
    <t>Ottoman Breeze</t>
  </si>
  <si>
    <t>Midnight with the Mobster</t>
  </si>
  <si>
    <t>Bet on Green</t>
  </si>
  <si>
    <t>Collateral Damage</t>
  </si>
  <si>
    <t>When in Havana</t>
  </si>
  <si>
    <t>Killer Instinct</t>
  </si>
  <si>
    <t>Pomme Trompee</t>
  </si>
  <si>
    <t>Black Widow</t>
  </si>
  <si>
    <t>Vintage Man</t>
  </si>
  <si>
    <t>Beaufort London</t>
  </si>
  <si>
    <t>Rake and Ruin</t>
  </si>
  <si>
    <t>Mix of Aventus and BR540</t>
  </si>
  <si>
    <t>Original blend</t>
  </si>
  <si>
    <t>Guerlain</t>
  </si>
  <si>
    <t>Santal Royal</t>
  </si>
  <si>
    <t>By Kilian</t>
  </si>
  <si>
    <t>Apple Brandy</t>
  </si>
  <si>
    <t>Angel's Share</t>
  </si>
  <si>
    <t>Black Phantom</t>
  </si>
  <si>
    <t>Amouage</t>
  </si>
  <si>
    <t xml:space="preserve">Initio </t>
  </si>
  <si>
    <t>Side Effect</t>
  </si>
  <si>
    <t>Best Price</t>
  </si>
  <si>
    <t>Location</t>
  </si>
  <si>
    <t xml:space="preserve">to explore: </t>
  </si>
  <si>
    <t>Molton Brown</t>
  </si>
  <si>
    <t>Bizarre Brandy</t>
  </si>
  <si>
    <t>C. Herrera</t>
  </si>
  <si>
    <t>CH Men Prive</t>
  </si>
  <si>
    <t xml:space="preserve">Commodity </t>
  </si>
  <si>
    <t>Whiskey</t>
  </si>
  <si>
    <t>Bortnikoff</t>
  </si>
  <si>
    <t>Sayat Nova</t>
  </si>
  <si>
    <t>C. Collins</t>
  </si>
  <si>
    <t>Harlem Nights</t>
  </si>
  <si>
    <t>Strangers Parfumerie</t>
  </si>
  <si>
    <t>Cigar Rum</t>
  </si>
  <si>
    <t>Comme des Garcons</t>
  </si>
  <si>
    <t>Sequoia</t>
  </si>
  <si>
    <t>Cartier</t>
  </si>
  <si>
    <t>Pasha de Cartier Parfum</t>
  </si>
  <si>
    <t>Uden</t>
  </si>
  <si>
    <t xml:space="preserve">Lubin </t>
  </si>
  <si>
    <t>Idole</t>
  </si>
  <si>
    <t xml:space="preserve">Lalique </t>
  </si>
  <si>
    <t>Ombre Noire</t>
  </si>
  <si>
    <t>Roja Parfums</t>
  </si>
  <si>
    <t>Creation-E</t>
  </si>
  <si>
    <t>Parfum d'Empire</t>
  </si>
  <si>
    <t>Ambre Russe</t>
  </si>
  <si>
    <t>Profumum</t>
  </si>
  <si>
    <t>Fumidus</t>
  </si>
  <si>
    <t>Boticario</t>
  </si>
  <si>
    <t>Barolo</t>
  </si>
  <si>
    <t>Back to Black</t>
  </si>
  <si>
    <t>Straight to Heaven</t>
  </si>
  <si>
    <t>bergdorfgoodman.com</t>
  </si>
  <si>
    <t>maxaroma</t>
  </si>
  <si>
    <t>fragrancex</t>
  </si>
  <si>
    <t>moltonbrown.com</t>
  </si>
  <si>
    <t>akrofragrances.com</t>
  </si>
  <si>
    <t>fragrancenet</t>
  </si>
  <si>
    <t>la-curie.com</t>
  </si>
  <si>
    <t>luckyscent</t>
  </si>
  <si>
    <t>Scents of Wood</t>
  </si>
  <si>
    <t>Plum in Cognac</t>
  </si>
  <si>
    <t>scentofwood.com</t>
  </si>
  <si>
    <t xml:space="preserve">Interlude </t>
  </si>
  <si>
    <t xml:space="preserve">Boozy/Tobacco Fragrances </t>
  </si>
  <si>
    <t>Slumberhouse</t>
  </si>
  <si>
    <t>Baque</t>
  </si>
  <si>
    <t>Discontinued-- maybe Ebay</t>
  </si>
  <si>
    <t>Speakeasy</t>
  </si>
  <si>
    <t>Comptoir Sud Pacific</t>
  </si>
  <si>
    <t>Rhum et Tabac</t>
  </si>
  <si>
    <t>English Laundry</t>
  </si>
  <si>
    <t>Tahitian Waters</t>
  </si>
  <si>
    <t>Farmacia Annunziata</t>
  </si>
  <si>
    <t>Dal 1561 Whiskey Oud</t>
  </si>
  <si>
    <t>Geoffrey Beene</t>
  </si>
  <si>
    <t>Grey Flannel</t>
  </si>
  <si>
    <t>Demeter</t>
  </si>
  <si>
    <t>Pipe Tobacco</t>
  </si>
  <si>
    <t>Harmony</t>
  </si>
  <si>
    <t>Intimacy</t>
  </si>
  <si>
    <t>The Ruler of Them All</t>
  </si>
  <si>
    <t>Overture</t>
  </si>
  <si>
    <t>Aromatic Pineapple</t>
  </si>
  <si>
    <t>Aquatic Coconut</t>
  </si>
  <si>
    <t>Woody Chestnut</t>
  </si>
  <si>
    <t>Oriential Cherry</t>
  </si>
  <si>
    <t>Musky Green Tea</t>
  </si>
  <si>
    <t>Journey</t>
  </si>
  <si>
    <t>Afnan</t>
  </si>
  <si>
    <t>Supremacy Incense</t>
  </si>
  <si>
    <t>Oil Perfumery</t>
  </si>
  <si>
    <t xml:space="preserve">Dark Rebel </t>
  </si>
  <si>
    <t>back-up bottle</t>
  </si>
  <si>
    <t>maxaroma (decant)</t>
  </si>
  <si>
    <t xml:space="preserve">Phaedon </t>
  </si>
  <si>
    <t>Tabac Rouge</t>
  </si>
  <si>
    <t>Vilherlm Perfumerie</t>
  </si>
  <si>
    <t>Chicago High</t>
  </si>
  <si>
    <t>Argos</t>
  </si>
  <si>
    <t>Triumph of Baccus</t>
  </si>
  <si>
    <t>Jubilation 25</t>
  </si>
  <si>
    <t>Costume Nactional</t>
  </si>
  <si>
    <t>Kouros</t>
  </si>
  <si>
    <t>Dionysis</t>
  </si>
  <si>
    <t>Cumbria</t>
  </si>
  <si>
    <t>Esctasy</t>
  </si>
  <si>
    <t>Highlands</t>
  </si>
  <si>
    <t>Brasilia Absolu</t>
  </si>
  <si>
    <t>A Private Man</t>
  </si>
  <si>
    <t>Smoky Muscal and Cucumber</t>
  </si>
  <si>
    <t>Citrus Matcha</t>
  </si>
  <si>
    <t>Ambery Vetiver</t>
  </si>
  <si>
    <t>Floral Rose</t>
  </si>
  <si>
    <t>Ginger and Grapefruit Zing</t>
  </si>
  <si>
    <t>Fresh Margarita and Lime</t>
  </si>
  <si>
    <t>Spicy Orchid</t>
  </si>
  <si>
    <t>Woody Green Apple</t>
  </si>
  <si>
    <t>Golden Rum and Amber</t>
  </si>
  <si>
    <t>Aromatic Ginger</t>
  </si>
  <si>
    <t>Ambery Safron</t>
  </si>
  <si>
    <t>Woody Sandalwood</t>
  </si>
  <si>
    <t>Citrus Tea</t>
  </si>
  <si>
    <t xml:space="preserve">Obsession Night </t>
  </si>
  <si>
    <t xml:space="preserve">Obsession </t>
  </si>
  <si>
    <t>F pour homme</t>
  </si>
  <si>
    <t>Jaipur pour homme</t>
  </si>
  <si>
    <t>J-Scent</t>
  </si>
  <si>
    <t>Sumo Wrestler</t>
  </si>
  <si>
    <t>Oscar de la Renta</t>
  </si>
  <si>
    <t>Pour Lui</t>
  </si>
  <si>
    <t>Original</t>
  </si>
  <si>
    <t>Yardley</t>
  </si>
  <si>
    <t>Gentlemen Elite</t>
  </si>
  <si>
    <t>Old Spice</t>
  </si>
  <si>
    <t>Classic</t>
  </si>
  <si>
    <t>Tabac</t>
  </si>
  <si>
    <t>Vince Camuto</t>
  </si>
  <si>
    <t>Homme</t>
  </si>
  <si>
    <t>Homme Intenso</t>
  </si>
  <si>
    <t>9 PM</t>
  </si>
  <si>
    <t>Supremacy in Heaven</t>
  </si>
  <si>
    <t>Supremacy</t>
  </si>
  <si>
    <t>Lattafa</t>
  </si>
  <si>
    <t>Raghba Wood Intense</t>
  </si>
  <si>
    <t>Khamrah</t>
  </si>
  <si>
    <t>Vintage Radio</t>
  </si>
  <si>
    <t>Ra'ed Silver</t>
  </si>
  <si>
    <t>Ramz Gold</t>
  </si>
  <si>
    <t>Fakhar Black</t>
  </si>
  <si>
    <t>Hayati</t>
  </si>
  <si>
    <t>Sheik al Shuyukh</t>
  </si>
  <si>
    <t>Fragrance World</t>
  </si>
  <si>
    <t>Imperium</t>
  </si>
  <si>
    <t>Cocktail Intense</t>
  </si>
  <si>
    <t>Supreme L'Homme Extreme</t>
  </si>
  <si>
    <t>Mocha Wood</t>
  </si>
  <si>
    <t>Jack of Clubs</t>
  </si>
  <si>
    <t>Odyssey Homme</t>
  </si>
  <si>
    <t>Maison Alhambra</t>
  </si>
  <si>
    <t>Kismet</t>
  </si>
  <si>
    <t xml:space="preserve">EDP </t>
  </si>
  <si>
    <t>Afro Leather</t>
  </si>
  <si>
    <t>Qaa'ed</t>
  </si>
  <si>
    <t>Confidential Private Gold</t>
  </si>
  <si>
    <t>Asad</t>
  </si>
  <si>
    <t>Qa'ed al Fursan</t>
  </si>
  <si>
    <t>Bade'e al Oud: Oud for Glory</t>
  </si>
  <si>
    <t>Bade'e al Oud: Honor and Glory</t>
  </si>
  <si>
    <t>Bade'e al Oud: Amethyst</t>
  </si>
  <si>
    <t>Bade'e al Oud: Sublime</t>
  </si>
  <si>
    <t>Woody Oud</t>
  </si>
  <si>
    <t>EPD</t>
  </si>
  <si>
    <t>Bright Peach</t>
  </si>
  <si>
    <t>Hercules</t>
  </si>
  <si>
    <t>Galatea</t>
  </si>
  <si>
    <t>Kalos</t>
  </si>
  <si>
    <t>Baroque Satin Oud</t>
  </si>
  <si>
    <t>Daarej</t>
  </si>
  <si>
    <t>Shuhrah</t>
  </si>
  <si>
    <t xml:space="preserve">Borouj </t>
  </si>
  <si>
    <t xml:space="preserve">Spiritus  </t>
  </si>
  <si>
    <t>CdNIM: Limited Ed.</t>
  </si>
  <si>
    <t>Club de Nuit Urban Man</t>
  </si>
  <si>
    <t>Blend of Dior Sauvage and Aventus</t>
  </si>
  <si>
    <t>Shades Wood</t>
  </si>
  <si>
    <t>Craze</t>
  </si>
  <si>
    <t>The One and Only: Moonlit Night</t>
  </si>
  <si>
    <t>Pendora Scents</t>
  </si>
  <si>
    <t>Tobacco Rouge</t>
  </si>
  <si>
    <t>Charuto Tobacco Vanille</t>
  </si>
  <si>
    <t>Unopened</t>
  </si>
  <si>
    <t>Intenso</t>
  </si>
  <si>
    <t>For Men Absolute</t>
  </si>
  <si>
    <t>Nautica</t>
  </si>
  <si>
    <t>Voyage</t>
  </si>
  <si>
    <t>Mercedez-Benz</t>
  </si>
  <si>
    <t>Select</t>
  </si>
  <si>
    <t>Very similar to Creed Aventus</t>
  </si>
  <si>
    <t>Jo Malone</t>
  </si>
  <si>
    <t>English Oak &amp; Redcurrant</t>
  </si>
  <si>
    <t>O Boticario</t>
  </si>
  <si>
    <t>Malbec</t>
  </si>
  <si>
    <t>Reyane Tradition</t>
  </si>
  <si>
    <t>Insurrection II</t>
  </si>
  <si>
    <t>Green</t>
  </si>
  <si>
    <t>Purple Label</t>
  </si>
  <si>
    <t xml:space="preserve">Polo </t>
  </si>
  <si>
    <t>Double Black</t>
  </si>
  <si>
    <t>Boss</t>
  </si>
  <si>
    <t>Number One</t>
  </si>
  <si>
    <t>Yves de Sistelle</t>
  </si>
  <si>
    <t>Thallium Black</t>
  </si>
  <si>
    <t>Montagne</t>
  </si>
  <si>
    <t>Phoenix Shaving</t>
  </si>
  <si>
    <t>Chanel pour monsieur</t>
  </si>
  <si>
    <t>Bijan</t>
  </si>
  <si>
    <t>Polo Red</t>
  </si>
  <si>
    <t>Mancera Cedrat Boise</t>
  </si>
  <si>
    <t>Armani pour homme</t>
  </si>
  <si>
    <t>Houbigant Duc de Vervins Ex.</t>
  </si>
  <si>
    <t>Dior Dune</t>
  </si>
  <si>
    <t>JPG Le Male Le Parfum</t>
  </si>
  <si>
    <t>Monsieur de Givenchy</t>
  </si>
  <si>
    <t>Hermes Terre d'Hermes parfum</t>
  </si>
  <si>
    <t>Floris 89</t>
  </si>
  <si>
    <t>Gucci pour homme</t>
  </si>
  <si>
    <t>Valentino Uomo</t>
  </si>
  <si>
    <t>Dior Eau Sauvage EDP</t>
  </si>
  <si>
    <t>36 (4.2 oz)</t>
  </si>
  <si>
    <t>Polo Sport</t>
  </si>
  <si>
    <t>44 (4 oz)</t>
  </si>
  <si>
    <t>Polo Intense</t>
  </si>
  <si>
    <t>55 (4.2 oz)</t>
  </si>
  <si>
    <t>Polo Black</t>
  </si>
  <si>
    <t>Paul Sebastian</t>
  </si>
  <si>
    <t>Lagerfeld</t>
  </si>
  <si>
    <t>Kenzo Jungle</t>
  </si>
  <si>
    <t>Hermes Equipage</t>
  </si>
  <si>
    <t>waiting list</t>
  </si>
  <si>
    <t>Guerlain Heritage</t>
  </si>
  <si>
    <t>Dunhill for Men</t>
  </si>
  <si>
    <t>Creed BdP</t>
  </si>
  <si>
    <t>Cerruti 1881</t>
  </si>
  <si>
    <t>Cartier Pascha EDP</t>
  </si>
  <si>
    <t>80 (3.3 oz)</t>
  </si>
  <si>
    <t>58 (1.7 oz)</t>
  </si>
  <si>
    <t>Cartier Declaration</t>
  </si>
  <si>
    <t>Status</t>
  </si>
  <si>
    <t>FragranceNet</t>
  </si>
  <si>
    <t>FragranceX</t>
  </si>
  <si>
    <t>Fragrance</t>
  </si>
  <si>
    <t>Prices</t>
  </si>
  <si>
    <t>Fragrance Wish List- Fall 2024/Winter 2025</t>
  </si>
  <si>
    <t>Palo Santo</t>
  </si>
  <si>
    <t>Spice &amp; Black Vanilla</t>
  </si>
  <si>
    <t>L'Eau d'Issey pour homme</t>
  </si>
  <si>
    <t>Davidoff</t>
  </si>
  <si>
    <t>Zino</t>
  </si>
  <si>
    <t>Drakkar Noir</t>
  </si>
  <si>
    <t>Drakkar Intense</t>
  </si>
  <si>
    <t>Antonio Puig</t>
  </si>
  <si>
    <t>Quorum</t>
  </si>
  <si>
    <t>St. Barts</t>
  </si>
  <si>
    <t>L'Homme</t>
  </si>
  <si>
    <t>Ted Lapidus</t>
  </si>
  <si>
    <t>Pour homme</t>
  </si>
  <si>
    <t>Lauder</t>
  </si>
  <si>
    <t>For Men</t>
  </si>
  <si>
    <t>Chanel</t>
  </si>
  <si>
    <t>Antaeus</t>
  </si>
  <si>
    <t>Egoiste</t>
  </si>
  <si>
    <t>Hermes</t>
  </si>
  <si>
    <t>Terre de Hermes</t>
  </si>
  <si>
    <t>L'Homme Ideal</t>
  </si>
  <si>
    <t>Vetiver</t>
  </si>
  <si>
    <t>Habit Rouge</t>
  </si>
  <si>
    <t>Givenchy</t>
  </si>
  <si>
    <t xml:space="preserve">Gentlemen  </t>
  </si>
  <si>
    <t>Gentlemen Reserve Prive</t>
  </si>
  <si>
    <t>Dior</t>
  </si>
  <si>
    <t>Fahrenheit</t>
  </si>
  <si>
    <t>Jules</t>
  </si>
  <si>
    <t>Eau Sauvage</t>
  </si>
  <si>
    <t>Dior Homme Parfum</t>
  </si>
  <si>
    <t>Homme Intense</t>
  </si>
  <si>
    <t>Asad Bourbon</t>
  </si>
  <si>
    <t>Mashrabya</t>
  </si>
  <si>
    <t>Pasha</t>
  </si>
  <si>
    <t xml:space="preserve">Lomani </t>
  </si>
  <si>
    <t>Capucci</t>
  </si>
  <si>
    <t>Roger &amp; Gallet</t>
  </si>
  <si>
    <t>Open</t>
  </si>
  <si>
    <t xml:space="preserve">Pi </t>
  </si>
  <si>
    <t>Royal Copenhagen</t>
  </si>
  <si>
    <t>For men</t>
  </si>
  <si>
    <t>Jacomo</t>
  </si>
  <si>
    <t>The Kingdom</t>
  </si>
  <si>
    <t xml:space="preserve">Gold </t>
  </si>
  <si>
    <t>Sung</t>
  </si>
  <si>
    <t>Pierre Cardin</t>
  </si>
  <si>
    <t>Origins of Tabac</t>
  </si>
  <si>
    <t>The Finest Aged Whiskey</t>
  </si>
  <si>
    <t>Sultan's Vanilla</t>
  </si>
  <si>
    <t>Betrayal</t>
  </si>
  <si>
    <t>Tobacco of the Royals 14</t>
  </si>
  <si>
    <t>Private Reserve 3</t>
  </si>
  <si>
    <t>45 Reflections of the Desert</t>
  </si>
  <si>
    <t>Sanctuary</t>
  </si>
  <si>
    <t>Mysterio de Myrrh</t>
  </si>
  <si>
    <t>Royalty</t>
  </si>
  <si>
    <t>The Irish Gentlemen</t>
  </si>
  <si>
    <t>Bespoke</t>
  </si>
  <si>
    <t>Rose Noir</t>
  </si>
  <si>
    <t>Monaliza</t>
  </si>
  <si>
    <t>Ravaged</t>
  </si>
  <si>
    <t>91 (2.5 oz)</t>
  </si>
  <si>
    <t>Versace Eros (EDP)</t>
  </si>
  <si>
    <t>YSL Opium</t>
  </si>
  <si>
    <t xml:space="preserve">Spicebomb  </t>
  </si>
  <si>
    <t>67 (1.7 oz)</t>
  </si>
  <si>
    <t>Spicebomb Extreme (EDP)</t>
  </si>
  <si>
    <t>Seller</t>
  </si>
  <si>
    <t>$ Amount</t>
  </si>
  <si>
    <t>The Perfume Box</t>
  </si>
  <si>
    <t>Alexandria</t>
  </si>
  <si>
    <t>PerfumeClub</t>
  </si>
  <si>
    <t>JomasShop</t>
  </si>
  <si>
    <t>Chanel.com</t>
  </si>
  <si>
    <t>Heritage</t>
  </si>
  <si>
    <t>Opium</t>
  </si>
  <si>
    <t xml:space="preserve">Salvador Dali </t>
  </si>
  <si>
    <t>Fragrance Expenditures</t>
  </si>
  <si>
    <t>Total</t>
  </si>
  <si>
    <t xml:space="preserve">Memoir </t>
  </si>
  <si>
    <t>Tester bottle</t>
  </si>
  <si>
    <t>Montagne Parfums</t>
  </si>
  <si>
    <t>Image</t>
  </si>
  <si>
    <t>Feu Rouge</t>
  </si>
  <si>
    <t>Galilean</t>
  </si>
  <si>
    <t>Aoud Maracuja</t>
  </si>
  <si>
    <t>Pacific Moss</t>
  </si>
  <si>
    <t>Gustavo</t>
  </si>
  <si>
    <t>Image 45</t>
  </si>
  <si>
    <t>Alexander II</t>
  </si>
  <si>
    <t xml:space="preserve">Pure Malt </t>
  </si>
  <si>
    <t>Clubman Pinaud Reserve</t>
  </si>
  <si>
    <t>Sweet Rum</t>
  </si>
  <si>
    <t>After shave</t>
  </si>
  <si>
    <t>Furyo</t>
  </si>
  <si>
    <t>Brut</t>
  </si>
  <si>
    <t>28 Shades of Tabacum</t>
  </si>
  <si>
    <t>Decant</t>
  </si>
  <si>
    <t>Website</t>
  </si>
  <si>
    <t>Price</t>
  </si>
  <si>
    <t>Papillon- Anubis</t>
  </si>
  <si>
    <t>Beaufort- Coeur de Noir</t>
  </si>
  <si>
    <t>Beaufort- Iron Duke</t>
  </si>
  <si>
    <t>Areej Le Dore- War and Peace II</t>
  </si>
  <si>
    <t>Rogue Perfumery- Chypre-Siam</t>
  </si>
  <si>
    <t>Slumberhouse- Norne</t>
  </si>
  <si>
    <t>Histoire De Parfums- 1740 (Marquis de Sade)</t>
  </si>
  <si>
    <t>Initio- Side Effect</t>
  </si>
  <si>
    <t>Arquiste- El</t>
  </si>
  <si>
    <t>Papillon- Salome</t>
  </si>
  <si>
    <t>Zoologist- Civet</t>
  </si>
  <si>
    <t>Size</t>
  </si>
  <si>
    <t>50 ml</t>
  </si>
  <si>
    <t>60 ml</t>
  </si>
  <si>
    <t>Tahari</t>
  </si>
  <si>
    <t>Aqua Wave</t>
  </si>
  <si>
    <t>Black</t>
  </si>
  <si>
    <t>Leather Oud</t>
  </si>
  <si>
    <t>Amouge</t>
  </si>
  <si>
    <t>Lyric</t>
  </si>
  <si>
    <t>Boundless</t>
  </si>
  <si>
    <t>Ex Nihilo</t>
  </si>
  <si>
    <t>Gold Immortals</t>
  </si>
  <si>
    <t>LuckyScent</t>
  </si>
  <si>
    <t>Bogue</t>
  </si>
  <si>
    <t>Maai</t>
  </si>
  <si>
    <t>Jomashop</t>
  </si>
  <si>
    <t>Epic</t>
  </si>
  <si>
    <t>Francesca Bianchi</t>
  </si>
  <si>
    <t>The Lovers' Tale</t>
  </si>
  <si>
    <t>The Dark Side</t>
  </si>
  <si>
    <t>Had Martinique, which was very good</t>
  </si>
  <si>
    <t>Grand Total</t>
  </si>
  <si>
    <t>Average cost per fragrance</t>
  </si>
  <si>
    <t>Bogue Mem</t>
  </si>
  <si>
    <t>splitscent</t>
  </si>
  <si>
    <t>100 ml</t>
  </si>
  <si>
    <t>Juste Filthy</t>
  </si>
  <si>
    <t>olfactif</t>
  </si>
  <si>
    <t>Parfum d'Empire Musc Tonkin</t>
  </si>
  <si>
    <t>jomasshop</t>
  </si>
  <si>
    <t>Fragrance Wish List (Niche version)- Winter 2025/26</t>
  </si>
  <si>
    <t>Al Rehab</t>
  </si>
  <si>
    <t>Dakar</t>
  </si>
  <si>
    <t>Bal a Versailles</t>
  </si>
  <si>
    <t>Cacharel</t>
  </si>
  <si>
    <t>Lolita Lempicka</t>
  </si>
  <si>
    <t>Mandarina Duck</t>
  </si>
  <si>
    <t>Mauboussin</t>
  </si>
  <si>
    <t>Tabu</t>
  </si>
  <si>
    <t>Amazon</t>
  </si>
  <si>
    <t>Celsius</t>
  </si>
  <si>
    <t>The Air of Moroccan Desert</t>
  </si>
  <si>
    <t>For You, Sir!</t>
  </si>
  <si>
    <t>Black Viking Ship</t>
  </si>
  <si>
    <t>Intense Homme</t>
  </si>
  <si>
    <t>Blast from the Past</t>
  </si>
  <si>
    <t>Triumphant</t>
  </si>
  <si>
    <t>Ecstasy 40</t>
  </si>
  <si>
    <t>in route</t>
  </si>
  <si>
    <t>Ave./year</t>
  </si>
  <si>
    <t>Estimate for fragrances on hand before 2020 (La Nuit de l'homme, Layton)</t>
  </si>
  <si>
    <t>current formulation</t>
  </si>
  <si>
    <t>1980s formulation (bought on Etsy)</t>
  </si>
  <si>
    <t>Jean Desprez</t>
  </si>
  <si>
    <t>Balenciaga</t>
  </si>
  <si>
    <t>Mini bottle (gift from channel viewer)</t>
  </si>
  <si>
    <t>Perfume Box</t>
  </si>
  <si>
    <t>Top 3 (in terms of amount spent- through Feb. 2026)</t>
  </si>
  <si>
    <t xml:space="preserve">Plan for remainder of 2026: </t>
  </si>
  <si>
    <t>$3000 total ($2525 remaining)</t>
  </si>
  <si>
    <t>b.) Dua- $400</t>
  </si>
  <si>
    <t>a.) Montagne- $500</t>
  </si>
  <si>
    <t>c.) Alexandria/PAA- $350</t>
  </si>
  <si>
    <t>e.) Niche originals- $900</t>
  </si>
  <si>
    <t>d.) Discovery/samples- $350</t>
  </si>
  <si>
    <t>Denim</t>
  </si>
  <si>
    <t>Varon Dandy</t>
  </si>
  <si>
    <t>for Men</t>
  </si>
  <si>
    <t xml:space="preserve">Clone/Inspired? </t>
  </si>
  <si>
    <t>N</t>
  </si>
  <si>
    <t>Y</t>
  </si>
  <si>
    <t xml:space="preserve">Clone/Insired Target </t>
  </si>
  <si>
    <t>JPG Ultramale</t>
  </si>
  <si>
    <t>Creed Silver Mountain Water</t>
  </si>
  <si>
    <t>Amouage Interlude</t>
  </si>
  <si>
    <t>Creed Aventus</t>
  </si>
  <si>
    <t>Kilian's Angel's Share</t>
  </si>
  <si>
    <t>Kilian's Straight to Heaven</t>
  </si>
  <si>
    <t>TF Tobacco Vanille</t>
  </si>
  <si>
    <t>Nasamatto Baraonda</t>
  </si>
  <si>
    <t>Creed Bois de Portugal</t>
  </si>
  <si>
    <t>Creed Aventus Absolu</t>
  </si>
  <si>
    <t>C. Herrera for Men Prive</t>
  </si>
  <si>
    <t>TF Myrrhe Mystere</t>
  </si>
  <si>
    <t>Creed Royal Oud</t>
  </si>
  <si>
    <t>Creed Green Irish Tweed</t>
  </si>
  <si>
    <t>Creed Royal Mayfair</t>
  </si>
  <si>
    <t>Amouage Lyric Man</t>
  </si>
  <si>
    <t>F. Malle Portrait of a Lady</t>
  </si>
  <si>
    <t>F. Malle Musc Ravageur</t>
  </si>
  <si>
    <t xml:space="preserve">TF Noir Extreme </t>
  </si>
  <si>
    <t>PdM Pegasus</t>
  </si>
  <si>
    <t>MM Replica Beach Walk</t>
  </si>
  <si>
    <t>MM Replica By the Fireplace</t>
  </si>
  <si>
    <t>TF Lost Cherry</t>
  </si>
  <si>
    <t>Le Labo The Matcha 26</t>
  </si>
  <si>
    <t>Byredo Bal d'Afrique</t>
  </si>
  <si>
    <t>Le Labo Rose 31</t>
  </si>
  <si>
    <t>TF Black Orchid</t>
  </si>
  <si>
    <t>P. Rabanne 1 Million</t>
  </si>
  <si>
    <t>LV L'Immensite</t>
  </si>
  <si>
    <t>Le Labo Santal 33</t>
  </si>
  <si>
    <t>Le Labo The Noir 29</t>
  </si>
  <si>
    <t>MFK BR 540</t>
  </si>
  <si>
    <t>Le Labo Tabac 28</t>
  </si>
  <si>
    <t>PdM Herod</t>
  </si>
  <si>
    <t>By Kilian's Single Malt</t>
  </si>
  <si>
    <t>Byredo Tobacco Mandarino</t>
  </si>
  <si>
    <t>Nishane Hacivat</t>
  </si>
  <si>
    <t>Polo Green</t>
  </si>
  <si>
    <t>Initio Side Effect</t>
  </si>
  <si>
    <t>Mugler Pure Havane</t>
  </si>
  <si>
    <t>Mugler Pure Malt</t>
  </si>
  <si>
    <t>By Kilian's Apple Brandy</t>
  </si>
  <si>
    <t>By Kilian's Black Phantom</t>
  </si>
  <si>
    <t>D&amp;G Pour Homme</t>
  </si>
  <si>
    <t>Amouage Overture</t>
  </si>
  <si>
    <t>PdM Carlisle</t>
  </si>
  <si>
    <t>Amouage Jubilation 25</t>
  </si>
  <si>
    <t>Creed Vintage Tabarome</t>
  </si>
  <si>
    <t>By Kilian's Old Fashioned</t>
  </si>
  <si>
    <t>Royal Crown Sultan</t>
  </si>
  <si>
    <t>Amouage Imitation Man</t>
  </si>
  <si>
    <t>Amouage Opus XIV- Royal Tobacco</t>
  </si>
  <si>
    <t>Roja Parfums Creation-E</t>
  </si>
  <si>
    <t>Roja Parfums Semi Bespoke No. 3</t>
  </si>
  <si>
    <t>Amouage Reflection 45</t>
  </si>
  <si>
    <t>Amouage Enclave</t>
  </si>
  <si>
    <t>Dior Farhenheit</t>
  </si>
  <si>
    <t>Tauer L'Air du desert Morocain</t>
  </si>
  <si>
    <t>Chanel pour Monsieur</t>
  </si>
  <si>
    <t>Dior Homme Intense</t>
  </si>
  <si>
    <t>Chanel Antaeus</t>
  </si>
  <si>
    <t>YSL Kouros</t>
  </si>
  <si>
    <t>Amouage Jubilation 40</t>
  </si>
  <si>
    <t>Roja Parfums Elysium</t>
  </si>
  <si>
    <t>By Killian's Angel Share</t>
  </si>
  <si>
    <t>Guerlain L'Homme Ideal Supreme</t>
  </si>
  <si>
    <t>Boadicea the Victorious' Hero</t>
  </si>
  <si>
    <t>YSL Bleu Electrique</t>
  </si>
  <si>
    <t>D&amp;G The One Luminous Night</t>
  </si>
  <si>
    <t>Initio Paragon</t>
  </si>
  <si>
    <t>YSL Y</t>
  </si>
  <si>
    <t>P. Rabanne Invictus</t>
  </si>
  <si>
    <t>Tiziana Terenzi Kirke</t>
  </si>
  <si>
    <t>Dior Sauvage Elixir</t>
  </si>
  <si>
    <t>Initio Oud for Greatness</t>
  </si>
  <si>
    <t>Kayali Eden Juicy Apple</t>
  </si>
  <si>
    <t xml:space="preserve">By Kilian's Smoking Hot </t>
  </si>
  <si>
    <t>YSL Tux</t>
  </si>
  <si>
    <t>TF Oud Wood</t>
  </si>
  <si>
    <t>TF Bitter Peach</t>
  </si>
  <si>
    <t>PdM Godolphin</t>
  </si>
  <si>
    <t>PdM Kalan</t>
  </si>
  <si>
    <t>MFK Oud Satin Mood</t>
  </si>
  <si>
    <t>Memo Paris African Leather</t>
  </si>
  <si>
    <t>Amouage Reflection Man</t>
  </si>
  <si>
    <t>BDK Parfums Rouge Smoking</t>
  </si>
  <si>
    <t>Marc Antonio Barrois Ganymede</t>
  </si>
  <si>
    <t>Maison Crivelli Oud Maracuja</t>
  </si>
  <si>
    <t>Goldfield &amp; Banks Pacific Rock Moss</t>
  </si>
  <si>
    <t>Ormonde Jayne Montabaco</t>
  </si>
  <si>
    <t>Amouage Reflection 45 Man</t>
  </si>
  <si>
    <t>Xerjoff Alexandria II</t>
  </si>
  <si>
    <t xml:space="preserve">Amouage Memoir </t>
  </si>
  <si>
    <t>Macera Red Tobacco</t>
  </si>
  <si>
    <t>TF Tuscan Leather</t>
  </si>
  <si>
    <t>Valentino V</t>
  </si>
  <si>
    <t>*Current as of 9-9-26</t>
  </si>
  <si>
    <t>Argos Triumph of Bacchus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</si>
</sst>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64" formatCode="0.0"/>
    <numFmt numFmtId="165" formatCode="&quot;$&quot;#,##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9">
    <xf numFmtId="0" fontId="0" fillId="0" borderId="0" xfId="0"/>
    <xf numFmtId="49" fontId="0" fillId="0" borderId="0" xfId="0" applyNumberFormat="1"/>
    <xf numFmtId="0" fontId="1" fillId="2" borderId="0" xfId="0" applyFont="1" applyFill="1"/>
    <xf numFmtId="164" fontId="0" fillId="0" borderId="0" xfId="0" applyNumberFormat="1"/>
    <xf numFmtId="0" fontId="0" fillId="0" borderId="1" xfId="0" applyFont="1" applyBorder="1"/>
    <xf numFmtId="0" fontId="0" fillId="0" borderId="2" xfId="0" applyFont="1" applyBorder="1"/>
    <xf numFmtId="0" fontId="0" fillId="0" borderId="0" xfId="0" applyAlignment="1">
      <alignment horizontal="left"/>
    </xf>
    <xf numFmtId="0" fontId="0" fillId="0" borderId="0" xfId="0" applyBorder="1"/>
    <xf numFmtId="164" fontId="0" fillId="0" borderId="0" xfId="0" applyNumberFormat="1" applyBorder="1"/>
    <xf numFmtId="0" fontId="0" fillId="0" borderId="0" xfId="0" applyFill="1"/>
    <xf numFmtId="0" fontId="0" fillId="3" borderId="0" xfId="0" applyFill="1"/>
    <xf numFmtId="6" fontId="0" fillId="0" borderId="0" xfId="0" applyNumberFormat="1"/>
    <xf numFmtId="6" fontId="0" fillId="0" borderId="0" xfId="0" applyNumberFormat="1" applyFill="1"/>
    <xf numFmtId="0" fontId="0" fillId="3" borderId="0" xfId="0" applyFill="1" applyBorder="1"/>
    <xf numFmtId="0" fontId="0" fillId="3" borderId="0" xfId="0" applyFill="1" applyAlignment="1">
      <alignment horizontal="left"/>
    </xf>
    <xf numFmtId="49" fontId="0" fillId="0" borderId="0" xfId="0" applyNumberFormat="1" applyAlignment="1">
      <alignment horizontal="left"/>
    </xf>
    <xf numFmtId="0" fontId="1" fillId="0" borderId="0" xfId="0" applyFont="1"/>
    <xf numFmtId="0" fontId="0" fillId="0" borderId="0" xfId="0" applyAlignment="1">
      <alignment horizontal="center"/>
    </xf>
    <xf numFmtId="0" fontId="0" fillId="2" borderId="0" xfId="0" applyFill="1"/>
    <xf numFmtId="14" fontId="0" fillId="0" borderId="0" xfId="0" applyNumberFormat="1"/>
    <xf numFmtId="38" fontId="0" fillId="0" borderId="0" xfId="0" applyNumberFormat="1"/>
    <xf numFmtId="0" fontId="0" fillId="0" borderId="3" xfId="0" applyFont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0" xfId="0" applyFill="1" applyAlignment="1">
      <alignment horizontal="center"/>
    </xf>
    <xf numFmtId="6" fontId="1" fillId="0" borderId="0" xfId="0" applyNumberFormat="1" applyFont="1"/>
    <xf numFmtId="165" fontId="1" fillId="0" borderId="0" xfId="0" applyNumberFormat="1" applyFont="1"/>
    <xf numFmtId="14" fontId="0" fillId="0" borderId="0" xfId="0" applyNumberFormat="1" applyFont="1"/>
    <xf numFmtId="3" fontId="0" fillId="0" borderId="0" xfId="0" applyNumberFormat="1" applyFont="1"/>
    <xf numFmtId="6" fontId="1" fillId="3" borderId="0" xfId="0" applyNumberFormat="1" applyFont="1" applyFill="1"/>
    <xf numFmtId="8" fontId="1" fillId="2" borderId="0" xfId="0" applyNumberFormat="1" applyFont="1" applyFill="1"/>
    <xf numFmtId="0" fontId="0" fillId="0" borderId="0" xfId="0" applyFill="1" applyAlignment="1">
      <alignment vertical="center"/>
    </xf>
    <xf numFmtId="6" fontId="0" fillId="0" borderId="0" xfId="0" applyNumberFormat="1" applyFill="1" applyAlignment="1">
      <alignment vertical="center"/>
    </xf>
    <xf numFmtId="6" fontId="0" fillId="0" borderId="0" xfId="0" applyNumberFormat="1" applyAlignment="1">
      <alignment vertical="center"/>
    </xf>
    <xf numFmtId="0" fontId="2" fillId="4" borderId="0" xfId="0" applyFont="1" applyFill="1"/>
    <xf numFmtId="0" fontId="0" fillId="0" borderId="0" xfId="0" applyFill="1" applyBorder="1"/>
    <xf numFmtId="0" fontId="0" fillId="5" borderId="0" xfId="0" applyFill="1"/>
    <xf numFmtId="0" fontId="0" fillId="6" borderId="0" xfId="0" applyFill="1"/>
    <xf numFmtId="0" fontId="0" fillId="0" borderId="1" xfId="0" applyFont="1" applyFill="1" applyBorder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301" totalsRowShown="0" headerRowDxfId="0">
  <autoFilter ref="A1:F301" xr:uid="{00000000-0009-0000-0100-000001000000}"/>
  <sortState ref="A2:F301">
    <sortCondition ref="A1:A271"/>
  </sortState>
  <tableColumns count="6">
    <tableColumn id="1" xr3:uid="{00000000-0010-0000-0000-000001000000}" name="House"/>
    <tableColumn id="2" xr3:uid="{00000000-0010-0000-0000-000002000000}" name="Scent"/>
    <tableColumn id="3" xr3:uid="{00000000-0010-0000-0000-000003000000}" name="Size (oz.)"/>
    <tableColumn id="4" xr3:uid="{00000000-0010-0000-0000-000004000000}" name="Strength"/>
    <tableColumn id="7" xr3:uid="{333B8599-212C-47DF-A3C5-4D8C70A858F2}" name="Clone/Inspired? "/>
    <tableColumn id="6" xr3:uid="{00000000-0010-0000-0000-000006000000}" name="Clone/Insired Target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9"/>
  <sheetViews>
    <sheetView tabSelected="1" topLeftCell="A280" workbookViewId="0">
      <selection activeCell="G14" sqref="G14"/>
    </sheetView>
  </sheetViews>
  <sheetFormatPr defaultRowHeight="14.5" x14ac:dyDescent="0.35"/>
  <cols>
    <col min="1" max="1" width="23.08984375" customWidth="1"/>
    <col min="2" max="2" width="28.453125" customWidth="1"/>
    <col min="3" max="3" width="11.1796875" customWidth="1"/>
    <col min="4" max="4" width="11.453125" customWidth="1"/>
    <col min="5" max="5" width="16.90625" bestFit="1" customWidth="1"/>
    <col min="6" max="6" width="32.54296875" bestFit="1" customWidth="1"/>
    <col min="7" max="7" width="38.453125" bestFit="1" customWidth="1"/>
    <col min="8" max="8" width="28.453125" bestFit="1" customWidth="1"/>
    <col min="9" max="9" width="21.54296875" bestFit="1" customWidth="1"/>
  </cols>
  <sheetData>
    <row r="1" spans="1:11" x14ac:dyDescent="0.35">
      <c r="A1" s="2" t="s">
        <v>0</v>
      </c>
      <c r="B1" s="2" t="s">
        <v>1</v>
      </c>
      <c r="C1" s="2" t="s">
        <v>3</v>
      </c>
      <c r="D1" s="2" t="s">
        <v>2</v>
      </c>
      <c r="E1" s="2" t="s">
        <v>583</v>
      </c>
      <c r="F1" s="2" t="s">
        <v>586</v>
      </c>
      <c r="G1" s="34" t="s">
        <v>683</v>
      </c>
      <c r="H1" s="9"/>
    </row>
    <row r="2" spans="1:11" x14ac:dyDescent="0.35">
      <c r="A2" s="10" t="s">
        <v>68</v>
      </c>
      <c r="B2" t="s">
        <v>69</v>
      </c>
      <c r="C2">
        <v>3.4</v>
      </c>
      <c r="D2" t="s">
        <v>9</v>
      </c>
      <c r="E2" s="36" t="s">
        <v>584</v>
      </c>
    </row>
    <row r="3" spans="1:11" x14ac:dyDescent="0.35">
      <c r="A3" s="14">
        <v>4711</v>
      </c>
      <c r="B3" t="s">
        <v>280</v>
      </c>
      <c r="C3">
        <v>1.7</v>
      </c>
      <c r="D3" t="s">
        <v>52</v>
      </c>
      <c r="E3" s="36" t="s">
        <v>584</v>
      </c>
      <c r="G3" s="37"/>
      <c r="H3" t="s">
        <v>563</v>
      </c>
    </row>
    <row r="4" spans="1:11" x14ac:dyDescent="0.35">
      <c r="A4" s="10" t="s">
        <v>238</v>
      </c>
      <c r="B4" s="15" t="s">
        <v>289</v>
      </c>
      <c r="C4">
        <v>3.4</v>
      </c>
      <c r="D4" t="s">
        <v>9</v>
      </c>
      <c r="E4" t="s">
        <v>585</v>
      </c>
      <c r="F4" s="9" t="s">
        <v>587</v>
      </c>
    </row>
    <row r="5" spans="1:11" x14ac:dyDescent="0.35">
      <c r="A5" s="10" t="s">
        <v>238</v>
      </c>
      <c r="B5" s="15" t="s">
        <v>290</v>
      </c>
      <c r="C5">
        <v>3.4</v>
      </c>
      <c r="D5" t="s">
        <v>9</v>
      </c>
      <c r="E5" t="s">
        <v>585</v>
      </c>
      <c r="F5" s="9" t="s">
        <v>588</v>
      </c>
    </row>
    <row r="6" spans="1:11" x14ac:dyDescent="0.35">
      <c r="A6" s="10" t="s">
        <v>238</v>
      </c>
      <c r="B6" s="15" t="s">
        <v>239</v>
      </c>
      <c r="C6">
        <v>3.4</v>
      </c>
      <c r="D6" t="s">
        <v>9</v>
      </c>
      <c r="E6" t="s">
        <v>585</v>
      </c>
      <c r="F6" s="9" t="s">
        <v>589</v>
      </c>
    </row>
    <row r="7" spans="1:11" x14ac:dyDescent="0.35">
      <c r="A7" s="10" t="s">
        <v>238</v>
      </c>
      <c r="B7" s="15" t="s">
        <v>291</v>
      </c>
      <c r="C7">
        <v>3.4</v>
      </c>
      <c r="D7" t="s">
        <v>9</v>
      </c>
      <c r="E7" t="s">
        <v>585</v>
      </c>
      <c r="F7" s="9" t="s">
        <v>590</v>
      </c>
    </row>
    <row r="8" spans="1:11" x14ac:dyDescent="0.35">
      <c r="A8" s="10" t="s">
        <v>127</v>
      </c>
      <c r="B8" t="s">
        <v>128</v>
      </c>
      <c r="C8">
        <v>3.4</v>
      </c>
      <c r="D8" t="s">
        <v>9</v>
      </c>
      <c r="E8" s="36" t="s">
        <v>584</v>
      </c>
    </row>
    <row r="9" spans="1:11" x14ac:dyDescent="0.35">
      <c r="A9" s="10" t="s">
        <v>61</v>
      </c>
      <c r="B9" t="s">
        <v>62</v>
      </c>
      <c r="C9" s="3">
        <v>2</v>
      </c>
      <c r="D9" t="s">
        <v>9</v>
      </c>
      <c r="E9" t="s">
        <v>585</v>
      </c>
      <c r="F9" t="s">
        <v>81</v>
      </c>
    </row>
    <row r="10" spans="1:11" x14ac:dyDescent="0.35">
      <c r="A10" s="10" t="s">
        <v>546</v>
      </c>
      <c r="B10" t="s">
        <v>547</v>
      </c>
      <c r="C10" s="3">
        <v>1.7</v>
      </c>
      <c r="D10" t="s">
        <v>9</v>
      </c>
      <c r="E10" t="s">
        <v>585</v>
      </c>
      <c r="F10" t="s">
        <v>408</v>
      </c>
    </row>
    <row r="11" spans="1:11" x14ac:dyDescent="0.35">
      <c r="A11" s="10" t="s">
        <v>111</v>
      </c>
      <c r="B11" t="s">
        <v>112</v>
      </c>
      <c r="C11" s="3">
        <v>1</v>
      </c>
      <c r="D11" t="s">
        <v>74</v>
      </c>
      <c r="E11" t="s">
        <v>585</v>
      </c>
      <c r="F11" t="s">
        <v>590</v>
      </c>
      <c r="I11" s="9"/>
    </row>
    <row r="12" spans="1:11" x14ac:dyDescent="0.35">
      <c r="A12" s="10" t="s">
        <v>111</v>
      </c>
      <c r="B12" t="s">
        <v>113</v>
      </c>
      <c r="C12" s="3">
        <v>1</v>
      </c>
      <c r="D12" t="s">
        <v>74</v>
      </c>
      <c r="E12" t="s">
        <v>585</v>
      </c>
      <c r="F12" t="s">
        <v>591</v>
      </c>
      <c r="I12" s="9"/>
      <c r="K12" s="21"/>
    </row>
    <row r="13" spans="1:11" x14ac:dyDescent="0.35">
      <c r="A13" s="10" t="s">
        <v>111</v>
      </c>
      <c r="B13" t="s">
        <v>114</v>
      </c>
      <c r="C13" s="3">
        <v>1</v>
      </c>
      <c r="D13" t="s">
        <v>74</v>
      </c>
      <c r="E13" t="s">
        <v>585</v>
      </c>
      <c r="F13" t="s">
        <v>592</v>
      </c>
      <c r="I13" s="9"/>
      <c r="K13" s="22"/>
    </row>
    <row r="14" spans="1:11" x14ac:dyDescent="0.35">
      <c r="A14" s="10" t="s">
        <v>111</v>
      </c>
      <c r="B14" t="s">
        <v>115</v>
      </c>
      <c r="C14" s="3">
        <v>1</v>
      </c>
      <c r="D14" t="s">
        <v>74</v>
      </c>
      <c r="E14" s="36" t="s">
        <v>584</v>
      </c>
      <c r="I14" s="9"/>
      <c r="K14" s="21"/>
    </row>
    <row r="15" spans="1:11" x14ac:dyDescent="0.35">
      <c r="A15" s="10" t="s">
        <v>111</v>
      </c>
      <c r="B15" t="s">
        <v>116</v>
      </c>
      <c r="C15" s="3">
        <v>1</v>
      </c>
      <c r="D15" t="s">
        <v>74</v>
      </c>
      <c r="E15" t="s">
        <v>585</v>
      </c>
      <c r="F15" t="s">
        <v>593</v>
      </c>
      <c r="I15" s="9"/>
    </row>
    <row r="16" spans="1:11" x14ac:dyDescent="0.35">
      <c r="A16" s="10" t="s">
        <v>111</v>
      </c>
      <c r="B16" t="s">
        <v>117</v>
      </c>
      <c r="C16" s="3">
        <v>1</v>
      </c>
      <c r="D16" t="s">
        <v>74</v>
      </c>
      <c r="E16" t="s">
        <v>585</v>
      </c>
      <c r="F16" t="s">
        <v>594</v>
      </c>
    </row>
    <row r="17" spans="1:10" x14ac:dyDescent="0.35">
      <c r="A17" s="10" t="s">
        <v>111</v>
      </c>
      <c r="B17" t="s">
        <v>256</v>
      </c>
      <c r="C17" s="3">
        <v>1</v>
      </c>
      <c r="D17" t="s">
        <v>74</v>
      </c>
      <c r="E17" t="s">
        <v>585</v>
      </c>
      <c r="F17" t="s">
        <v>595</v>
      </c>
    </row>
    <row r="18" spans="1:10" x14ac:dyDescent="0.35">
      <c r="A18" s="10" t="s">
        <v>111</v>
      </c>
      <c r="B18" t="s">
        <v>257</v>
      </c>
      <c r="C18" s="3">
        <v>1</v>
      </c>
      <c r="D18" t="s">
        <v>74</v>
      </c>
      <c r="E18" t="s">
        <v>585</v>
      </c>
      <c r="F18" t="s">
        <v>596</v>
      </c>
      <c r="I18" s="23"/>
      <c r="J18" s="23"/>
    </row>
    <row r="19" spans="1:10" x14ac:dyDescent="0.35">
      <c r="A19" s="10" t="s">
        <v>111</v>
      </c>
      <c r="B19" t="s">
        <v>258</v>
      </c>
      <c r="C19" s="3">
        <v>1.5</v>
      </c>
      <c r="D19" t="s">
        <v>74</v>
      </c>
      <c r="E19" t="s">
        <v>585</v>
      </c>
      <c r="F19" t="s">
        <v>597</v>
      </c>
    </row>
    <row r="20" spans="1:10" x14ac:dyDescent="0.35">
      <c r="A20" s="10" t="s">
        <v>111</v>
      </c>
      <c r="B20" t="s">
        <v>458</v>
      </c>
      <c r="C20" s="3">
        <v>1</v>
      </c>
      <c r="D20" t="s">
        <v>74</v>
      </c>
      <c r="E20" t="s">
        <v>585</v>
      </c>
      <c r="F20" t="s">
        <v>598</v>
      </c>
    </row>
    <row r="21" spans="1:10" x14ac:dyDescent="0.35">
      <c r="A21" s="10" t="s">
        <v>111</v>
      </c>
      <c r="B21" t="s">
        <v>459</v>
      </c>
      <c r="C21" s="3">
        <v>1</v>
      </c>
      <c r="D21" t="s">
        <v>74</v>
      </c>
      <c r="E21" t="s">
        <v>585</v>
      </c>
      <c r="F21" t="s">
        <v>599</v>
      </c>
    </row>
    <row r="22" spans="1:10" x14ac:dyDescent="0.35">
      <c r="A22" s="10" t="s">
        <v>111</v>
      </c>
      <c r="B22" t="s">
        <v>460</v>
      </c>
      <c r="C22" s="3">
        <v>1</v>
      </c>
      <c r="D22" t="s">
        <v>74</v>
      </c>
      <c r="E22" t="s">
        <v>585</v>
      </c>
      <c r="F22" t="s">
        <v>600</v>
      </c>
    </row>
    <row r="23" spans="1:10" x14ac:dyDescent="0.35">
      <c r="A23" s="10" t="s">
        <v>111</v>
      </c>
      <c r="B23" t="s">
        <v>461</v>
      </c>
      <c r="C23" s="3">
        <v>1</v>
      </c>
      <c r="D23" t="s">
        <v>74</v>
      </c>
      <c r="E23" t="s">
        <v>585</v>
      </c>
      <c r="F23" t="s">
        <v>601</v>
      </c>
    </row>
    <row r="24" spans="1:10" x14ac:dyDescent="0.35">
      <c r="A24" s="10" t="s">
        <v>111</v>
      </c>
      <c r="B24" t="s">
        <v>462</v>
      </c>
      <c r="C24" s="3">
        <v>1</v>
      </c>
      <c r="D24" t="s">
        <v>74</v>
      </c>
      <c r="E24" t="s">
        <v>585</v>
      </c>
      <c r="F24" t="s">
        <v>602</v>
      </c>
    </row>
    <row r="25" spans="1:10" x14ac:dyDescent="0.35">
      <c r="A25" s="10" t="s">
        <v>111</v>
      </c>
      <c r="B25" t="s">
        <v>463</v>
      </c>
      <c r="C25" s="3">
        <v>1</v>
      </c>
      <c r="D25" t="s">
        <v>74</v>
      </c>
      <c r="E25" t="s">
        <v>585</v>
      </c>
      <c r="F25" t="s">
        <v>603</v>
      </c>
    </row>
    <row r="26" spans="1:10" x14ac:dyDescent="0.35">
      <c r="A26" s="10" t="s">
        <v>111</v>
      </c>
      <c r="B26" t="s">
        <v>464</v>
      </c>
      <c r="C26" s="3">
        <v>1</v>
      </c>
      <c r="D26" t="s">
        <v>74</v>
      </c>
      <c r="E26" t="s">
        <v>585</v>
      </c>
      <c r="F26" t="s">
        <v>604</v>
      </c>
    </row>
    <row r="27" spans="1:10" x14ac:dyDescent="0.35">
      <c r="A27" s="10" t="s">
        <v>164</v>
      </c>
      <c r="B27" t="s">
        <v>447</v>
      </c>
      <c r="C27" s="3">
        <v>3.4</v>
      </c>
      <c r="D27" t="s">
        <v>9</v>
      </c>
      <c r="E27" s="36" t="s">
        <v>584</v>
      </c>
    </row>
    <row r="28" spans="1:10" x14ac:dyDescent="0.35">
      <c r="A28" s="10" t="s">
        <v>164</v>
      </c>
      <c r="B28" t="s">
        <v>212</v>
      </c>
      <c r="C28" s="3">
        <v>3.4</v>
      </c>
      <c r="D28" t="s">
        <v>9</v>
      </c>
      <c r="E28" s="36" t="s">
        <v>584</v>
      </c>
    </row>
    <row r="29" spans="1:10" x14ac:dyDescent="0.35">
      <c r="A29" s="10" t="s">
        <v>164</v>
      </c>
      <c r="B29" t="s">
        <v>237</v>
      </c>
      <c r="C29" s="3">
        <v>3.4</v>
      </c>
      <c r="D29" t="s">
        <v>9</v>
      </c>
      <c r="E29" s="36" t="s">
        <v>584</v>
      </c>
    </row>
    <row r="30" spans="1:10" x14ac:dyDescent="0.35">
      <c r="A30" s="10" t="s">
        <v>164</v>
      </c>
      <c r="B30" t="s">
        <v>250</v>
      </c>
      <c r="C30" s="3">
        <v>3.4</v>
      </c>
      <c r="D30" t="s">
        <v>9</v>
      </c>
      <c r="E30" s="36" t="s">
        <v>584</v>
      </c>
    </row>
    <row r="31" spans="1:10" x14ac:dyDescent="0.35">
      <c r="A31" s="10" t="s">
        <v>164</v>
      </c>
      <c r="B31" t="s">
        <v>483</v>
      </c>
      <c r="C31" s="3">
        <v>3.4</v>
      </c>
      <c r="D31" t="s">
        <v>9</v>
      </c>
      <c r="E31" s="36" t="s">
        <v>584</v>
      </c>
      <c r="F31" t="s">
        <v>484</v>
      </c>
    </row>
    <row r="32" spans="1:10" x14ac:dyDescent="0.35">
      <c r="A32" s="10" t="s">
        <v>164</v>
      </c>
      <c r="B32" t="s">
        <v>231</v>
      </c>
      <c r="C32" s="3">
        <v>0.5</v>
      </c>
      <c r="D32" t="s">
        <v>9</v>
      </c>
      <c r="E32" s="36" t="s">
        <v>584</v>
      </c>
      <c r="F32" t="s">
        <v>501</v>
      </c>
    </row>
    <row r="33" spans="1:6" x14ac:dyDescent="0.35">
      <c r="A33" s="10" t="s">
        <v>522</v>
      </c>
      <c r="B33" t="s">
        <v>523</v>
      </c>
      <c r="C33" s="3">
        <v>3.4</v>
      </c>
      <c r="D33" t="s">
        <v>9</v>
      </c>
      <c r="E33" s="36" t="s">
        <v>584</v>
      </c>
    </row>
    <row r="34" spans="1:6" x14ac:dyDescent="0.35">
      <c r="A34" s="10" t="s">
        <v>164</v>
      </c>
      <c r="B34" t="s">
        <v>524</v>
      </c>
      <c r="C34" s="3">
        <v>3.4</v>
      </c>
      <c r="D34" t="s">
        <v>9</v>
      </c>
      <c r="E34" s="36" t="s">
        <v>584</v>
      </c>
    </row>
    <row r="35" spans="1:6" x14ac:dyDescent="0.35">
      <c r="A35" s="10" t="s">
        <v>164</v>
      </c>
      <c r="B35" t="s">
        <v>531</v>
      </c>
      <c r="C35" s="3">
        <v>3.4</v>
      </c>
      <c r="D35" t="s">
        <v>9</v>
      </c>
      <c r="E35" s="36" t="s">
        <v>584</v>
      </c>
    </row>
    <row r="36" spans="1:6" x14ac:dyDescent="0.35">
      <c r="A36" s="10" t="s">
        <v>100</v>
      </c>
      <c r="B36" t="s">
        <v>100</v>
      </c>
      <c r="C36">
        <v>6.7</v>
      </c>
      <c r="D36" t="s">
        <v>5</v>
      </c>
      <c r="E36" s="36" t="s">
        <v>584</v>
      </c>
    </row>
    <row r="37" spans="1:6" x14ac:dyDescent="0.35">
      <c r="A37" s="10" t="s">
        <v>410</v>
      </c>
      <c r="B37" t="s">
        <v>411</v>
      </c>
      <c r="C37">
        <v>3.3</v>
      </c>
      <c r="D37" t="s">
        <v>5</v>
      </c>
      <c r="E37" s="36" t="s">
        <v>584</v>
      </c>
    </row>
    <row r="38" spans="1:6" x14ac:dyDescent="0.35">
      <c r="A38" s="13" t="s">
        <v>66</v>
      </c>
      <c r="B38" s="7" t="s">
        <v>67</v>
      </c>
      <c r="C38" s="7">
        <v>3.7</v>
      </c>
      <c r="D38" s="7" t="s">
        <v>9</v>
      </c>
      <c r="E38" s="36" t="s">
        <v>584</v>
      </c>
    </row>
    <row r="39" spans="1:6" x14ac:dyDescent="0.35">
      <c r="A39" s="10" t="s">
        <v>66</v>
      </c>
      <c r="B39" t="s">
        <v>85</v>
      </c>
      <c r="C39">
        <v>3.4</v>
      </c>
      <c r="D39" t="s">
        <v>5</v>
      </c>
      <c r="E39" s="36" t="s">
        <v>584</v>
      </c>
    </row>
    <row r="40" spans="1:6" x14ac:dyDescent="0.35">
      <c r="A40" s="10" t="s">
        <v>66</v>
      </c>
      <c r="B40" t="s">
        <v>7</v>
      </c>
      <c r="C40">
        <v>3.4</v>
      </c>
      <c r="D40" t="s">
        <v>5</v>
      </c>
      <c r="E40" s="36" t="s">
        <v>584</v>
      </c>
    </row>
    <row r="41" spans="1:6" x14ac:dyDescent="0.35">
      <c r="A41" s="10" t="s">
        <v>248</v>
      </c>
      <c r="B41" t="s">
        <v>249</v>
      </c>
      <c r="C41" s="3">
        <v>1</v>
      </c>
      <c r="D41" t="s">
        <v>9</v>
      </c>
      <c r="E41" s="36" t="s">
        <v>584</v>
      </c>
    </row>
    <row r="42" spans="1:6" x14ac:dyDescent="0.35">
      <c r="A42" s="10" t="s">
        <v>42</v>
      </c>
      <c r="B42" t="s">
        <v>43</v>
      </c>
      <c r="C42">
        <v>4.2</v>
      </c>
      <c r="D42" t="s">
        <v>5</v>
      </c>
      <c r="E42" t="s">
        <v>585</v>
      </c>
      <c r="F42" t="s">
        <v>590</v>
      </c>
    </row>
    <row r="43" spans="1:6" x14ac:dyDescent="0.35">
      <c r="A43" s="10" t="s">
        <v>42</v>
      </c>
      <c r="B43" t="s">
        <v>331</v>
      </c>
      <c r="C43">
        <v>4.2</v>
      </c>
      <c r="D43" t="s">
        <v>9</v>
      </c>
      <c r="E43" t="s">
        <v>585</v>
      </c>
      <c r="F43" t="s">
        <v>590</v>
      </c>
    </row>
    <row r="44" spans="1:6" x14ac:dyDescent="0.35">
      <c r="A44" s="10" t="s">
        <v>42</v>
      </c>
      <c r="B44" t="s">
        <v>332</v>
      </c>
      <c r="C44">
        <v>4.2</v>
      </c>
      <c r="D44" t="s">
        <v>9</v>
      </c>
      <c r="E44" s="36" t="s">
        <v>584</v>
      </c>
      <c r="F44" t="s">
        <v>333</v>
      </c>
    </row>
    <row r="45" spans="1:6" x14ac:dyDescent="0.35">
      <c r="A45" s="10" t="s">
        <v>42</v>
      </c>
      <c r="B45" t="s">
        <v>307</v>
      </c>
      <c r="C45">
        <v>6</v>
      </c>
      <c r="D45" t="s">
        <v>9</v>
      </c>
      <c r="E45" t="s">
        <v>585</v>
      </c>
      <c r="F45" s="9" t="s">
        <v>605</v>
      </c>
    </row>
    <row r="46" spans="1:6" x14ac:dyDescent="0.35">
      <c r="A46" s="10" t="s">
        <v>42</v>
      </c>
      <c r="B46" t="s">
        <v>335</v>
      </c>
      <c r="C46">
        <v>3.3</v>
      </c>
      <c r="D46" t="s">
        <v>9</v>
      </c>
      <c r="E46" t="s">
        <v>585</v>
      </c>
      <c r="F46" s="9" t="s">
        <v>606</v>
      </c>
    </row>
    <row r="47" spans="1:6" x14ac:dyDescent="0.35">
      <c r="A47" s="10" t="s">
        <v>42</v>
      </c>
      <c r="B47" t="s">
        <v>334</v>
      </c>
      <c r="C47">
        <v>3.3</v>
      </c>
      <c r="D47" t="s">
        <v>9</v>
      </c>
      <c r="E47" s="36" t="s">
        <v>584</v>
      </c>
      <c r="F47" s="9"/>
    </row>
    <row r="48" spans="1:6" x14ac:dyDescent="0.35">
      <c r="A48" s="10" t="s">
        <v>12</v>
      </c>
      <c r="B48" t="s">
        <v>41</v>
      </c>
      <c r="C48">
        <v>4.2</v>
      </c>
      <c r="D48" t="s">
        <v>9</v>
      </c>
      <c r="E48" s="36" t="s">
        <v>584</v>
      </c>
    </row>
    <row r="49" spans="1:6" x14ac:dyDescent="0.35">
      <c r="A49" s="10" t="s">
        <v>25</v>
      </c>
      <c r="B49" t="s">
        <v>7</v>
      </c>
      <c r="C49">
        <v>1.7</v>
      </c>
      <c r="D49" t="s">
        <v>5</v>
      </c>
      <c r="E49" s="36" t="s">
        <v>584</v>
      </c>
    </row>
    <row r="50" spans="1:6" x14ac:dyDescent="0.35">
      <c r="A50" s="13" t="s">
        <v>25</v>
      </c>
      <c r="B50" s="7" t="s">
        <v>26</v>
      </c>
      <c r="C50" s="7">
        <v>3.4</v>
      </c>
      <c r="D50" s="7" t="s">
        <v>9</v>
      </c>
      <c r="E50" s="36" t="s">
        <v>584</v>
      </c>
    </row>
    <row r="51" spans="1:6" x14ac:dyDescent="0.35">
      <c r="A51" s="13" t="s">
        <v>569</v>
      </c>
      <c r="B51" s="7" t="s">
        <v>7</v>
      </c>
      <c r="C51" s="7">
        <v>0.13</v>
      </c>
      <c r="D51" s="7" t="s">
        <v>5</v>
      </c>
      <c r="E51" s="36" t="s">
        <v>584</v>
      </c>
      <c r="F51" t="s">
        <v>570</v>
      </c>
    </row>
    <row r="52" spans="1:6" x14ac:dyDescent="0.35">
      <c r="A52" s="13" t="s">
        <v>154</v>
      </c>
      <c r="B52" s="7" t="s">
        <v>155</v>
      </c>
      <c r="C52" s="7">
        <v>1.7</v>
      </c>
      <c r="D52" s="7" t="s">
        <v>9</v>
      </c>
      <c r="E52" s="36" t="s">
        <v>584</v>
      </c>
    </row>
    <row r="53" spans="1:6" x14ac:dyDescent="0.35">
      <c r="A53" s="13" t="s">
        <v>27</v>
      </c>
      <c r="B53" s="7" t="s">
        <v>342</v>
      </c>
      <c r="C53" s="7">
        <v>3.4</v>
      </c>
      <c r="D53" s="7" t="s">
        <v>9</v>
      </c>
      <c r="E53" s="36" t="s">
        <v>584</v>
      </c>
    </row>
    <row r="54" spans="1:6" x14ac:dyDescent="0.35">
      <c r="A54" s="10" t="s">
        <v>27</v>
      </c>
      <c r="B54" t="s">
        <v>28</v>
      </c>
      <c r="C54">
        <v>3.4</v>
      </c>
      <c r="D54" t="s">
        <v>9</v>
      </c>
      <c r="E54" s="36" t="s">
        <v>584</v>
      </c>
    </row>
    <row r="55" spans="1:6" x14ac:dyDescent="0.35">
      <c r="A55" s="10" t="s">
        <v>365</v>
      </c>
      <c r="B55" t="s">
        <v>7</v>
      </c>
      <c r="C55">
        <v>2.5</v>
      </c>
      <c r="D55" t="s">
        <v>5</v>
      </c>
      <c r="E55" s="36" t="s">
        <v>584</v>
      </c>
    </row>
    <row r="56" spans="1:6" x14ac:dyDescent="0.35">
      <c r="A56" s="10" t="s">
        <v>528</v>
      </c>
      <c r="B56" t="s">
        <v>529</v>
      </c>
      <c r="C56">
        <v>1.7</v>
      </c>
      <c r="D56" t="s">
        <v>9</v>
      </c>
      <c r="E56" s="36" t="s">
        <v>584</v>
      </c>
    </row>
    <row r="57" spans="1:6" x14ac:dyDescent="0.35">
      <c r="A57" s="10" t="s">
        <v>329</v>
      </c>
      <c r="B57" t="s">
        <v>330</v>
      </c>
      <c r="C57">
        <v>3.3</v>
      </c>
      <c r="D57" t="s">
        <v>9</v>
      </c>
      <c r="E57" t="s">
        <v>585</v>
      </c>
      <c r="F57" t="s">
        <v>590</v>
      </c>
    </row>
    <row r="58" spans="1:6" x14ac:dyDescent="0.35">
      <c r="A58" s="10" t="s">
        <v>358</v>
      </c>
      <c r="B58" t="s">
        <v>359</v>
      </c>
      <c r="C58">
        <v>3.3</v>
      </c>
      <c r="D58" t="s">
        <v>5</v>
      </c>
      <c r="E58" s="36" t="s">
        <v>584</v>
      </c>
    </row>
    <row r="59" spans="1:6" x14ac:dyDescent="0.35">
      <c r="A59" s="10" t="s">
        <v>101</v>
      </c>
      <c r="B59" t="s">
        <v>275</v>
      </c>
      <c r="C59">
        <v>3.3</v>
      </c>
      <c r="D59" t="s">
        <v>9</v>
      </c>
      <c r="E59" s="36" t="s">
        <v>584</v>
      </c>
    </row>
    <row r="60" spans="1:6" x14ac:dyDescent="0.35">
      <c r="A60" s="10" t="s">
        <v>499</v>
      </c>
      <c r="B60" t="s">
        <v>417</v>
      </c>
      <c r="C60">
        <v>6</v>
      </c>
      <c r="D60" t="s">
        <v>497</v>
      </c>
      <c r="E60" s="36" t="s">
        <v>584</v>
      </c>
    </row>
    <row r="61" spans="1:6" x14ac:dyDescent="0.35">
      <c r="A61" s="10" t="s">
        <v>13</v>
      </c>
      <c r="B61" t="s">
        <v>14</v>
      </c>
      <c r="C61" s="3">
        <v>2</v>
      </c>
      <c r="D61" t="s">
        <v>9</v>
      </c>
      <c r="E61" s="36" t="s">
        <v>584</v>
      </c>
    </row>
    <row r="62" spans="1:6" x14ac:dyDescent="0.35">
      <c r="A62" s="10" t="s">
        <v>549</v>
      </c>
      <c r="B62" t="s">
        <v>415</v>
      </c>
      <c r="C62" s="3">
        <v>1.7</v>
      </c>
      <c r="D62" t="s">
        <v>5</v>
      </c>
      <c r="E62" s="36" t="s">
        <v>584</v>
      </c>
    </row>
    <row r="63" spans="1:6" x14ac:dyDescent="0.35">
      <c r="A63" s="10" t="s">
        <v>16</v>
      </c>
      <c r="B63" t="s">
        <v>59</v>
      </c>
      <c r="C63" s="3">
        <v>3.3</v>
      </c>
      <c r="D63" t="s">
        <v>5</v>
      </c>
      <c r="E63" s="36" t="s">
        <v>584</v>
      </c>
    </row>
    <row r="64" spans="1:6" x14ac:dyDescent="0.35">
      <c r="A64" s="10" t="s">
        <v>16</v>
      </c>
      <c r="B64" t="s">
        <v>59</v>
      </c>
      <c r="C64">
        <v>3.3</v>
      </c>
      <c r="D64" t="s">
        <v>9</v>
      </c>
      <c r="E64" s="36" t="s">
        <v>584</v>
      </c>
    </row>
    <row r="65" spans="1:5" x14ac:dyDescent="0.35">
      <c r="A65" s="10" t="s">
        <v>16</v>
      </c>
      <c r="B65" t="s">
        <v>272</v>
      </c>
      <c r="C65">
        <v>4</v>
      </c>
      <c r="D65" t="s">
        <v>5</v>
      </c>
      <c r="E65" s="36" t="s">
        <v>584</v>
      </c>
    </row>
    <row r="66" spans="1:5" x14ac:dyDescent="0.35">
      <c r="A66" s="10" t="s">
        <v>16</v>
      </c>
      <c r="B66" t="s">
        <v>273</v>
      </c>
      <c r="C66">
        <v>4</v>
      </c>
      <c r="D66" t="s">
        <v>5</v>
      </c>
      <c r="E66" s="36" t="s">
        <v>584</v>
      </c>
    </row>
    <row r="67" spans="1:5" x14ac:dyDescent="0.35">
      <c r="A67" s="10" t="s">
        <v>439</v>
      </c>
      <c r="B67" t="s">
        <v>7</v>
      </c>
      <c r="C67">
        <v>3.4</v>
      </c>
      <c r="D67" t="s">
        <v>5</v>
      </c>
      <c r="E67" s="36" t="s">
        <v>584</v>
      </c>
    </row>
    <row r="68" spans="1:5" x14ac:dyDescent="0.35">
      <c r="A68" s="10" t="s">
        <v>4</v>
      </c>
      <c r="B68" t="s">
        <v>60</v>
      </c>
      <c r="C68">
        <v>4.2</v>
      </c>
      <c r="D68" t="s">
        <v>5</v>
      </c>
      <c r="E68" s="36" t="s">
        <v>584</v>
      </c>
    </row>
    <row r="69" spans="1:5" x14ac:dyDescent="0.35">
      <c r="A69" s="10" t="s">
        <v>4</v>
      </c>
      <c r="B69" t="s">
        <v>7</v>
      </c>
      <c r="C69">
        <v>4.2</v>
      </c>
      <c r="D69" t="s">
        <v>5</v>
      </c>
      <c r="E69" s="36" t="s">
        <v>584</v>
      </c>
    </row>
    <row r="70" spans="1:5" x14ac:dyDescent="0.35">
      <c r="A70" s="10" t="s">
        <v>184</v>
      </c>
      <c r="B70" t="s">
        <v>437</v>
      </c>
      <c r="C70">
        <v>3.3</v>
      </c>
      <c r="D70" t="s">
        <v>9</v>
      </c>
      <c r="E70" s="36" t="s">
        <v>584</v>
      </c>
    </row>
    <row r="71" spans="1:5" x14ac:dyDescent="0.35">
      <c r="A71" s="10" t="s">
        <v>418</v>
      </c>
      <c r="B71" t="s">
        <v>419</v>
      </c>
      <c r="C71">
        <v>3.4</v>
      </c>
      <c r="D71" t="s">
        <v>5</v>
      </c>
      <c r="E71" s="36" t="s">
        <v>584</v>
      </c>
    </row>
    <row r="72" spans="1:5" x14ac:dyDescent="0.35">
      <c r="A72" s="10" t="s">
        <v>418</v>
      </c>
      <c r="B72" t="s">
        <v>420</v>
      </c>
      <c r="C72">
        <v>3.4</v>
      </c>
      <c r="D72" t="s">
        <v>5</v>
      </c>
      <c r="E72" s="36" t="s">
        <v>584</v>
      </c>
    </row>
    <row r="73" spans="1:5" x14ac:dyDescent="0.35">
      <c r="A73" s="10" t="s">
        <v>495</v>
      </c>
      <c r="B73" t="s">
        <v>496</v>
      </c>
      <c r="C73">
        <v>6</v>
      </c>
      <c r="D73" t="s">
        <v>497</v>
      </c>
      <c r="E73" s="36" t="s">
        <v>584</v>
      </c>
    </row>
    <row r="74" spans="1:5" x14ac:dyDescent="0.35">
      <c r="A74" s="10" t="s">
        <v>251</v>
      </c>
      <c r="B74" t="s">
        <v>7</v>
      </c>
      <c r="C74">
        <v>1.7</v>
      </c>
      <c r="D74" t="s">
        <v>9</v>
      </c>
      <c r="E74" s="36" t="s">
        <v>584</v>
      </c>
    </row>
    <row r="75" spans="1:5" x14ac:dyDescent="0.35">
      <c r="A75" s="10" t="s">
        <v>57</v>
      </c>
      <c r="B75" t="s">
        <v>79</v>
      </c>
      <c r="C75">
        <v>3.3</v>
      </c>
      <c r="D75" t="s">
        <v>9</v>
      </c>
      <c r="E75" s="36" t="s">
        <v>584</v>
      </c>
    </row>
    <row r="76" spans="1:5" x14ac:dyDescent="0.35">
      <c r="A76" s="10" t="s">
        <v>142</v>
      </c>
      <c r="B76" t="s">
        <v>404</v>
      </c>
      <c r="C76">
        <v>3.4</v>
      </c>
      <c r="D76" t="s">
        <v>5</v>
      </c>
      <c r="E76" s="36" t="s">
        <v>584</v>
      </c>
    </row>
    <row r="77" spans="1:5" x14ac:dyDescent="0.35">
      <c r="A77" s="10" t="s">
        <v>142</v>
      </c>
      <c r="B77" t="s">
        <v>403</v>
      </c>
      <c r="C77">
        <v>3.4</v>
      </c>
      <c r="D77" t="s">
        <v>5</v>
      </c>
      <c r="E77" s="36" t="s">
        <v>584</v>
      </c>
    </row>
    <row r="78" spans="1:5" x14ac:dyDescent="0.35">
      <c r="A78" s="10" t="s">
        <v>142</v>
      </c>
      <c r="B78" t="s">
        <v>143</v>
      </c>
      <c r="C78">
        <v>3.4</v>
      </c>
      <c r="D78" t="s">
        <v>5</v>
      </c>
      <c r="E78" s="36" t="s">
        <v>584</v>
      </c>
    </row>
    <row r="79" spans="1:5" x14ac:dyDescent="0.35">
      <c r="A79" s="10" t="s">
        <v>142</v>
      </c>
      <c r="B79" t="s">
        <v>144</v>
      </c>
      <c r="C79">
        <v>3.4</v>
      </c>
      <c r="D79" t="s">
        <v>5</v>
      </c>
      <c r="E79" s="36" t="s">
        <v>584</v>
      </c>
    </row>
    <row r="80" spans="1:5" x14ac:dyDescent="0.35">
      <c r="A80" s="10" t="s">
        <v>406</v>
      </c>
      <c r="B80" t="s">
        <v>407</v>
      </c>
      <c r="C80">
        <v>4.2</v>
      </c>
      <c r="D80" t="s">
        <v>5</v>
      </c>
      <c r="E80" s="36" t="s">
        <v>584</v>
      </c>
    </row>
    <row r="81" spans="1:6" x14ac:dyDescent="0.35">
      <c r="A81" s="10" t="s">
        <v>226</v>
      </c>
      <c r="B81" t="s">
        <v>227</v>
      </c>
      <c r="C81" s="3">
        <v>4</v>
      </c>
      <c r="D81" t="s">
        <v>5</v>
      </c>
      <c r="E81" s="36" t="s">
        <v>584</v>
      </c>
    </row>
    <row r="82" spans="1:6" x14ac:dyDescent="0.35">
      <c r="A82" s="10" t="s">
        <v>580</v>
      </c>
      <c r="B82" t="s">
        <v>280</v>
      </c>
      <c r="C82" s="3">
        <v>3.3</v>
      </c>
      <c r="D82" t="s">
        <v>497</v>
      </c>
      <c r="E82" s="36" t="s">
        <v>584</v>
      </c>
    </row>
    <row r="83" spans="1:6" x14ac:dyDescent="0.35">
      <c r="A83" s="10" t="s">
        <v>429</v>
      </c>
      <c r="B83" t="s">
        <v>430</v>
      </c>
      <c r="C83" s="3">
        <v>3.4</v>
      </c>
      <c r="D83" t="s">
        <v>5</v>
      </c>
      <c r="E83" s="36" t="s">
        <v>584</v>
      </c>
    </row>
    <row r="84" spans="1:6" x14ac:dyDescent="0.35">
      <c r="A84" s="10" t="s">
        <v>429</v>
      </c>
      <c r="B84" t="s">
        <v>431</v>
      </c>
      <c r="C84" s="3">
        <v>3.4</v>
      </c>
      <c r="D84" t="s">
        <v>5</v>
      </c>
      <c r="E84" s="36" t="s">
        <v>584</v>
      </c>
    </row>
    <row r="85" spans="1:6" x14ac:dyDescent="0.35">
      <c r="A85" s="10" t="s">
        <v>429</v>
      </c>
      <c r="B85" t="s">
        <v>432</v>
      </c>
      <c r="C85" s="3">
        <v>1.7</v>
      </c>
      <c r="D85" t="s">
        <v>5</v>
      </c>
      <c r="E85" s="36" t="s">
        <v>584</v>
      </c>
    </row>
    <row r="86" spans="1:6" x14ac:dyDescent="0.35">
      <c r="A86" s="10" t="s">
        <v>429</v>
      </c>
      <c r="B86" t="s">
        <v>433</v>
      </c>
      <c r="C86" s="3">
        <v>3.4</v>
      </c>
      <c r="D86" t="s">
        <v>321</v>
      </c>
      <c r="E86" s="36" t="s">
        <v>584</v>
      </c>
    </row>
    <row r="87" spans="1:6" x14ac:dyDescent="0.35">
      <c r="A87" s="10" t="s">
        <v>429</v>
      </c>
      <c r="B87" t="s">
        <v>434</v>
      </c>
      <c r="C87" s="3">
        <v>1.7</v>
      </c>
      <c r="D87" t="s">
        <v>9</v>
      </c>
      <c r="E87" s="36" t="s">
        <v>584</v>
      </c>
    </row>
    <row r="88" spans="1:6" x14ac:dyDescent="0.35">
      <c r="A88" s="10" t="s">
        <v>6</v>
      </c>
      <c r="B88" t="s">
        <v>8</v>
      </c>
      <c r="C88" s="3">
        <v>3.3</v>
      </c>
      <c r="D88" t="s">
        <v>9</v>
      </c>
      <c r="E88" s="36" t="s">
        <v>584</v>
      </c>
    </row>
    <row r="89" spans="1:6" x14ac:dyDescent="0.35">
      <c r="A89" s="10" t="s">
        <v>6</v>
      </c>
      <c r="B89" t="s">
        <v>29</v>
      </c>
      <c r="C89" s="3">
        <v>1</v>
      </c>
      <c r="D89" t="s">
        <v>5</v>
      </c>
      <c r="E89" s="36" t="s">
        <v>584</v>
      </c>
      <c r="F89" t="s">
        <v>340</v>
      </c>
    </row>
    <row r="90" spans="1:6" x14ac:dyDescent="0.35">
      <c r="A90" s="10" t="s">
        <v>6</v>
      </c>
      <c r="B90" t="s">
        <v>341</v>
      </c>
      <c r="C90" s="3">
        <v>2.5</v>
      </c>
      <c r="D90" t="s">
        <v>9</v>
      </c>
      <c r="E90" s="36" t="s">
        <v>584</v>
      </c>
    </row>
    <row r="91" spans="1:6" x14ac:dyDescent="0.35">
      <c r="A91" s="10" t="s">
        <v>6</v>
      </c>
      <c r="B91" t="s">
        <v>17</v>
      </c>
      <c r="C91" s="3">
        <v>2.5</v>
      </c>
      <c r="D91" t="s">
        <v>5</v>
      </c>
      <c r="E91" s="36" t="s">
        <v>584</v>
      </c>
    </row>
    <row r="92" spans="1:6" x14ac:dyDescent="0.35">
      <c r="A92" s="10" t="s">
        <v>6</v>
      </c>
      <c r="B92" t="s">
        <v>84</v>
      </c>
      <c r="C92" s="3">
        <v>6.7</v>
      </c>
      <c r="D92" t="s">
        <v>5</v>
      </c>
      <c r="E92" s="36" t="s">
        <v>584</v>
      </c>
    </row>
    <row r="93" spans="1:6" x14ac:dyDescent="0.35">
      <c r="A93" s="13" t="s">
        <v>109</v>
      </c>
      <c r="B93" s="7" t="s">
        <v>232</v>
      </c>
      <c r="C93" s="8">
        <v>1.7</v>
      </c>
      <c r="D93" s="7" t="s">
        <v>9</v>
      </c>
      <c r="E93" t="s">
        <v>585</v>
      </c>
      <c r="F93" t="s">
        <v>657</v>
      </c>
    </row>
    <row r="94" spans="1:6" x14ac:dyDescent="0.35">
      <c r="A94" s="13" t="s">
        <v>109</v>
      </c>
      <c r="B94" s="7" t="s">
        <v>233</v>
      </c>
      <c r="C94" s="8">
        <v>1.7</v>
      </c>
      <c r="D94" s="7" t="s">
        <v>9</v>
      </c>
      <c r="E94" t="s">
        <v>585</v>
      </c>
      <c r="F94" t="s">
        <v>607</v>
      </c>
    </row>
    <row r="95" spans="1:6" x14ac:dyDescent="0.35">
      <c r="A95" s="13" t="s">
        <v>109</v>
      </c>
      <c r="B95" s="7" t="s">
        <v>234</v>
      </c>
      <c r="C95" s="8">
        <v>1.7</v>
      </c>
      <c r="D95" s="7" t="s">
        <v>9</v>
      </c>
      <c r="E95" t="s">
        <v>585</v>
      </c>
      <c r="F95" t="s">
        <v>608</v>
      </c>
    </row>
    <row r="96" spans="1:6" x14ac:dyDescent="0.35">
      <c r="A96" s="13" t="s">
        <v>109</v>
      </c>
      <c r="B96" s="7" t="s">
        <v>235</v>
      </c>
      <c r="C96" s="8">
        <v>1.7</v>
      </c>
      <c r="D96" s="7" t="s">
        <v>9</v>
      </c>
      <c r="E96" t="s">
        <v>585</v>
      </c>
      <c r="F96" t="s">
        <v>609</v>
      </c>
    </row>
    <row r="97" spans="1:9" x14ac:dyDescent="0.35">
      <c r="A97" s="13" t="s">
        <v>109</v>
      </c>
      <c r="B97" s="7" t="s">
        <v>236</v>
      </c>
      <c r="C97" s="8">
        <v>1.7</v>
      </c>
      <c r="D97" s="7" t="s">
        <v>9</v>
      </c>
      <c r="E97" t="s">
        <v>585</v>
      </c>
      <c r="F97" t="s">
        <v>588</v>
      </c>
    </row>
    <row r="98" spans="1:9" x14ac:dyDescent="0.35">
      <c r="A98" s="13" t="s">
        <v>109</v>
      </c>
      <c r="B98" s="7" t="s">
        <v>259</v>
      </c>
      <c r="C98" s="8">
        <v>1.7</v>
      </c>
      <c r="D98" s="7" t="s">
        <v>9</v>
      </c>
      <c r="E98" s="36" t="s">
        <v>584</v>
      </c>
      <c r="G98" s="4"/>
      <c r="H98" s="5"/>
      <c r="I98" s="5"/>
    </row>
    <row r="99" spans="1:9" x14ac:dyDescent="0.35">
      <c r="A99" s="13" t="s">
        <v>109</v>
      </c>
      <c r="B99" s="7" t="s">
        <v>260</v>
      </c>
      <c r="C99" s="8">
        <v>1.7</v>
      </c>
      <c r="D99" s="7" t="s">
        <v>9</v>
      </c>
      <c r="E99" t="s">
        <v>585</v>
      </c>
      <c r="F99" t="s">
        <v>610</v>
      </c>
    </row>
    <row r="100" spans="1:9" x14ac:dyDescent="0.35">
      <c r="A100" s="13" t="s">
        <v>109</v>
      </c>
      <c r="B100" s="7" t="s">
        <v>261</v>
      </c>
      <c r="C100" s="8">
        <v>1.7</v>
      </c>
      <c r="D100" s="7" t="s">
        <v>9</v>
      </c>
      <c r="E100" t="s">
        <v>585</v>
      </c>
      <c r="F100" t="s">
        <v>611</v>
      </c>
    </row>
    <row r="101" spans="1:9" x14ac:dyDescent="0.35">
      <c r="A101" s="13" t="s">
        <v>109</v>
      </c>
      <c r="B101" s="7" t="s">
        <v>262</v>
      </c>
      <c r="C101" s="8">
        <v>1.7</v>
      </c>
      <c r="D101" s="7" t="s">
        <v>9</v>
      </c>
      <c r="E101" t="s">
        <v>585</v>
      </c>
      <c r="F101" t="s">
        <v>612</v>
      </c>
    </row>
    <row r="102" spans="1:9" x14ac:dyDescent="0.35">
      <c r="A102" s="13" t="s">
        <v>109</v>
      </c>
      <c r="B102" s="7" t="s">
        <v>263</v>
      </c>
      <c r="C102" s="8">
        <v>1.7</v>
      </c>
      <c r="D102" s="7" t="s">
        <v>9</v>
      </c>
      <c r="E102" s="36" t="s">
        <v>584</v>
      </c>
    </row>
    <row r="103" spans="1:9" x14ac:dyDescent="0.35">
      <c r="A103" s="13" t="s">
        <v>109</v>
      </c>
      <c r="B103" s="7" t="s">
        <v>264</v>
      </c>
      <c r="C103" s="8">
        <v>1.7</v>
      </c>
      <c r="D103" s="7" t="s">
        <v>9</v>
      </c>
      <c r="E103" s="36" t="s">
        <v>584</v>
      </c>
    </row>
    <row r="104" spans="1:9" x14ac:dyDescent="0.35">
      <c r="A104" s="13" t="s">
        <v>109</v>
      </c>
      <c r="B104" s="7" t="s">
        <v>265</v>
      </c>
      <c r="C104" s="8">
        <v>1.7</v>
      </c>
      <c r="D104" s="7" t="s">
        <v>9</v>
      </c>
      <c r="E104" t="s">
        <v>585</v>
      </c>
      <c r="F104" t="s">
        <v>613</v>
      </c>
    </row>
    <row r="105" spans="1:9" x14ac:dyDescent="0.35">
      <c r="A105" s="13" t="s">
        <v>109</v>
      </c>
      <c r="B105" s="7" t="s">
        <v>266</v>
      </c>
      <c r="C105" s="8">
        <v>1.7</v>
      </c>
      <c r="D105" s="7" t="s">
        <v>9</v>
      </c>
      <c r="E105" t="s">
        <v>585</v>
      </c>
      <c r="F105" t="s">
        <v>614</v>
      </c>
    </row>
    <row r="106" spans="1:9" x14ac:dyDescent="0.35">
      <c r="A106" s="13" t="s">
        <v>109</v>
      </c>
      <c r="B106" s="7" t="s">
        <v>267</v>
      </c>
      <c r="C106" s="8">
        <v>1.7</v>
      </c>
      <c r="D106" s="7" t="s">
        <v>9</v>
      </c>
      <c r="E106" s="36" t="s">
        <v>584</v>
      </c>
    </row>
    <row r="107" spans="1:9" x14ac:dyDescent="0.35">
      <c r="A107" s="13" t="s">
        <v>109</v>
      </c>
      <c r="B107" s="7" t="s">
        <v>268</v>
      </c>
      <c r="C107" s="8">
        <v>1.7</v>
      </c>
      <c r="D107" s="7" t="s">
        <v>9</v>
      </c>
      <c r="E107" t="s">
        <v>585</v>
      </c>
      <c r="F107" t="s">
        <v>615</v>
      </c>
    </row>
    <row r="108" spans="1:9" x14ac:dyDescent="0.35">
      <c r="A108" s="13" t="s">
        <v>109</v>
      </c>
      <c r="B108" s="7" t="s">
        <v>269</v>
      </c>
      <c r="C108" s="8">
        <v>1.7</v>
      </c>
      <c r="D108" s="7" t="s">
        <v>9</v>
      </c>
      <c r="E108" t="s">
        <v>585</v>
      </c>
      <c r="F108" t="s">
        <v>618</v>
      </c>
    </row>
    <row r="109" spans="1:9" x14ac:dyDescent="0.35">
      <c r="A109" s="13" t="s">
        <v>109</v>
      </c>
      <c r="B109" s="7" t="s">
        <v>270</v>
      </c>
      <c r="C109" s="8">
        <v>1.7</v>
      </c>
      <c r="D109" s="7" t="s">
        <v>9</v>
      </c>
      <c r="E109" t="s">
        <v>585</v>
      </c>
      <c r="F109" t="s">
        <v>616</v>
      </c>
    </row>
    <row r="110" spans="1:9" x14ac:dyDescent="0.35">
      <c r="A110" s="13" t="s">
        <v>109</v>
      </c>
      <c r="B110" s="7" t="s">
        <v>271</v>
      </c>
      <c r="C110" s="8">
        <v>1.7</v>
      </c>
      <c r="D110" s="7" t="s">
        <v>9</v>
      </c>
      <c r="E110" t="s">
        <v>585</v>
      </c>
      <c r="F110" t="s">
        <v>617</v>
      </c>
    </row>
    <row r="111" spans="1:9" x14ac:dyDescent="0.35">
      <c r="A111" s="10" t="s">
        <v>107</v>
      </c>
      <c r="B111" t="s">
        <v>500</v>
      </c>
      <c r="C111" s="3">
        <v>1</v>
      </c>
      <c r="D111" t="s">
        <v>74</v>
      </c>
      <c r="E111" t="s">
        <v>585</v>
      </c>
      <c r="F111" t="s">
        <v>619</v>
      </c>
    </row>
    <row r="112" spans="1:9" x14ac:dyDescent="0.35">
      <c r="A112" s="10" t="s">
        <v>107</v>
      </c>
      <c r="B112" t="s">
        <v>108</v>
      </c>
      <c r="C112" s="3">
        <v>1</v>
      </c>
      <c r="D112" t="s">
        <v>74</v>
      </c>
      <c r="E112" s="36" t="s">
        <v>584</v>
      </c>
    </row>
    <row r="113" spans="1:6" x14ac:dyDescent="0.35">
      <c r="A113" s="10" t="s">
        <v>107</v>
      </c>
      <c r="B113" t="s">
        <v>118</v>
      </c>
      <c r="C113" s="3">
        <v>1</v>
      </c>
      <c r="D113" t="s">
        <v>74</v>
      </c>
      <c r="E113" s="36" t="s">
        <v>584</v>
      </c>
      <c r="F113" t="s">
        <v>156</v>
      </c>
    </row>
    <row r="114" spans="1:6" x14ac:dyDescent="0.35">
      <c r="A114" s="10" t="s">
        <v>107</v>
      </c>
      <c r="B114" t="s">
        <v>119</v>
      </c>
      <c r="C114" s="3">
        <v>1</v>
      </c>
      <c r="D114" t="s">
        <v>74</v>
      </c>
      <c r="E114" t="s">
        <v>585</v>
      </c>
      <c r="F114" t="s">
        <v>620</v>
      </c>
    </row>
    <row r="115" spans="1:6" x14ac:dyDescent="0.35">
      <c r="A115" s="10" t="s">
        <v>107</v>
      </c>
      <c r="B115" t="s">
        <v>120</v>
      </c>
      <c r="C115" s="3">
        <v>1</v>
      </c>
      <c r="D115" t="s">
        <v>74</v>
      </c>
      <c r="E115" t="s">
        <v>585</v>
      </c>
      <c r="F115" t="s">
        <v>621</v>
      </c>
    </row>
    <row r="116" spans="1:6" x14ac:dyDescent="0.35">
      <c r="A116" s="10" t="s">
        <v>107</v>
      </c>
      <c r="B116" t="s">
        <v>121</v>
      </c>
      <c r="C116" s="3">
        <v>1</v>
      </c>
      <c r="D116" t="s">
        <v>74</v>
      </c>
      <c r="E116" t="s">
        <v>585</v>
      </c>
      <c r="F116" t="s">
        <v>622</v>
      </c>
    </row>
    <row r="117" spans="1:6" x14ac:dyDescent="0.35">
      <c r="A117" s="10" t="s">
        <v>107</v>
      </c>
      <c r="B117" t="s">
        <v>122</v>
      </c>
      <c r="C117" s="3">
        <v>1</v>
      </c>
      <c r="D117" t="s">
        <v>74</v>
      </c>
      <c r="E117" s="36" t="s">
        <v>584</v>
      </c>
    </row>
    <row r="118" spans="1:6" x14ac:dyDescent="0.35">
      <c r="A118" s="13" t="s">
        <v>107</v>
      </c>
      <c r="B118" s="7" t="s">
        <v>123</v>
      </c>
      <c r="C118" s="8">
        <v>1</v>
      </c>
      <c r="D118" s="7" t="s">
        <v>74</v>
      </c>
      <c r="E118" s="36" t="s">
        <v>584</v>
      </c>
    </row>
    <row r="119" spans="1:6" x14ac:dyDescent="0.35">
      <c r="A119" s="10" t="s">
        <v>107</v>
      </c>
      <c r="B119" t="s">
        <v>145</v>
      </c>
      <c r="C119" s="3">
        <v>1</v>
      </c>
      <c r="D119" t="s">
        <v>74</v>
      </c>
      <c r="E119" t="s">
        <v>585</v>
      </c>
      <c r="F119" t="s">
        <v>623</v>
      </c>
    </row>
    <row r="120" spans="1:6" x14ac:dyDescent="0.35">
      <c r="A120" s="10" t="s">
        <v>107</v>
      </c>
      <c r="B120" t="s">
        <v>146</v>
      </c>
      <c r="C120" s="3">
        <v>1</v>
      </c>
      <c r="D120" t="s">
        <v>74</v>
      </c>
      <c r="E120" t="s">
        <v>585</v>
      </c>
      <c r="F120" t="s">
        <v>639</v>
      </c>
    </row>
    <row r="121" spans="1:6" x14ac:dyDescent="0.35">
      <c r="A121" s="10" t="s">
        <v>107</v>
      </c>
      <c r="B121" t="s">
        <v>147</v>
      </c>
      <c r="C121" s="3">
        <v>1</v>
      </c>
      <c r="D121" t="s">
        <v>74</v>
      </c>
      <c r="E121" t="s">
        <v>585</v>
      </c>
      <c r="F121" t="s">
        <v>624</v>
      </c>
    </row>
    <row r="122" spans="1:6" x14ac:dyDescent="0.35">
      <c r="A122" s="10" t="s">
        <v>107</v>
      </c>
      <c r="B122" t="s">
        <v>148</v>
      </c>
      <c r="C122" s="3">
        <v>1</v>
      </c>
      <c r="D122" t="s">
        <v>74</v>
      </c>
      <c r="E122" t="s">
        <v>585</v>
      </c>
      <c r="F122" t="s">
        <v>625</v>
      </c>
    </row>
    <row r="123" spans="1:6" x14ac:dyDescent="0.35">
      <c r="A123" s="13" t="s">
        <v>107</v>
      </c>
      <c r="B123" s="7" t="s">
        <v>149</v>
      </c>
      <c r="C123" s="8">
        <v>1</v>
      </c>
      <c r="D123" s="7" t="s">
        <v>74</v>
      </c>
      <c r="E123" t="s">
        <v>585</v>
      </c>
      <c r="F123" t="s">
        <v>626</v>
      </c>
    </row>
    <row r="124" spans="1:6" x14ac:dyDescent="0.35">
      <c r="A124" s="10" t="s">
        <v>107</v>
      </c>
      <c r="B124" t="s">
        <v>150</v>
      </c>
      <c r="C124" s="3">
        <v>1</v>
      </c>
      <c r="D124" t="s">
        <v>74</v>
      </c>
      <c r="E124" t="s">
        <v>585</v>
      </c>
      <c r="F124" t="s">
        <v>627</v>
      </c>
    </row>
    <row r="125" spans="1:6" x14ac:dyDescent="0.35">
      <c r="A125" s="10" t="s">
        <v>107</v>
      </c>
      <c r="B125" t="s">
        <v>151</v>
      </c>
      <c r="C125" s="3">
        <v>1</v>
      </c>
      <c r="D125" t="s">
        <v>74</v>
      </c>
      <c r="E125" t="s">
        <v>585</v>
      </c>
      <c r="F125" t="s">
        <v>628</v>
      </c>
    </row>
    <row r="126" spans="1:6" x14ac:dyDescent="0.35">
      <c r="A126" s="10" t="s">
        <v>107</v>
      </c>
      <c r="B126" t="s">
        <v>152</v>
      </c>
      <c r="C126" s="3">
        <v>1</v>
      </c>
      <c r="D126" t="s">
        <v>74</v>
      </c>
      <c r="E126" t="s">
        <v>585</v>
      </c>
      <c r="F126" t="s">
        <v>629</v>
      </c>
    </row>
    <row r="127" spans="1:6" x14ac:dyDescent="0.35">
      <c r="A127" s="13" t="s">
        <v>107</v>
      </c>
      <c r="B127" s="7" t="s">
        <v>153</v>
      </c>
      <c r="C127" s="8">
        <v>1</v>
      </c>
      <c r="D127" s="7" t="s">
        <v>74</v>
      </c>
      <c r="E127" t="s">
        <v>585</v>
      </c>
      <c r="F127" t="s">
        <v>630</v>
      </c>
    </row>
    <row r="128" spans="1:6" x14ac:dyDescent="0.35">
      <c r="A128" s="10" t="s">
        <v>107</v>
      </c>
      <c r="B128" t="s">
        <v>228</v>
      </c>
      <c r="C128" s="3">
        <v>1</v>
      </c>
      <c r="D128" t="s">
        <v>74</v>
      </c>
      <c r="E128" t="s">
        <v>585</v>
      </c>
      <c r="F128" t="s">
        <v>631</v>
      </c>
    </row>
    <row r="129" spans="1:6" x14ac:dyDescent="0.35">
      <c r="A129" s="10" t="s">
        <v>107</v>
      </c>
      <c r="B129" t="s">
        <v>229</v>
      </c>
      <c r="C129" s="3">
        <v>1</v>
      </c>
      <c r="D129" t="s">
        <v>74</v>
      </c>
      <c r="E129" s="36" t="s">
        <v>584</v>
      </c>
    </row>
    <row r="130" spans="1:6" x14ac:dyDescent="0.35">
      <c r="A130" s="10" t="s">
        <v>107</v>
      </c>
      <c r="B130" t="s">
        <v>230</v>
      </c>
      <c r="C130" s="3">
        <v>1</v>
      </c>
      <c r="D130" t="s">
        <v>74</v>
      </c>
      <c r="E130" s="36" t="s">
        <v>584</v>
      </c>
    </row>
    <row r="131" spans="1:6" x14ac:dyDescent="0.35">
      <c r="A131" s="10" t="s">
        <v>107</v>
      </c>
      <c r="B131" t="s">
        <v>253</v>
      </c>
      <c r="C131" s="3">
        <v>1</v>
      </c>
      <c r="D131" t="s">
        <v>74</v>
      </c>
      <c r="E131" t="s">
        <v>585</v>
      </c>
      <c r="F131" t="s">
        <v>684</v>
      </c>
    </row>
    <row r="132" spans="1:6" x14ac:dyDescent="0.35">
      <c r="A132" s="10" t="s">
        <v>107</v>
      </c>
      <c r="B132" t="s">
        <v>254</v>
      </c>
      <c r="C132" s="3">
        <v>1</v>
      </c>
      <c r="D132" t="s">
        <v>74</v>
      </c>
      <c r="E132" t="s">
        <v>585</v>
      </c>
      <c r="F132" t="s">
        <v>632</v>
      </c>
    </row>
    <row r="133" spans="1:6" x14ac:dyDescent="0.35">
      <c r="A133" s="10" t="s">
        <v>107</v>
      </c>
      <c r="B133" t="s">
        <v>255</v>
      </c>
      <c r="C133" s="3">
        <v>1</v>
      </c>
      <c r="D133" t="s">
        <v>74</v>
      </c>
      <c r="E133" t="s">
        <v>585</v>
      </c>
      <c r="F133" t="s">
        <v>633</v>
      </c>
    </row>
    <row r="134" spans="1:6" x14ac:dyDescent="0.35">
      <c r="A134" s="10" t="s">
        <v>107</v>
      </c>
      <c r="B134" t="s">
        <v>450</v>
      </c>
      <c r="C134" s="3">
        <v>1</v>
      </c>
      <c r="D134" t="s">
        <v>74</v>
      </c>
      <c r="E134" t="s">
        <v>585</v>
      </c>
      <c r="F134" t="s">
        <v>634</v>
      </c>
    </row>
    <row r="135" spans="1:6" x14ac:dyDescent="0.35">
      <c r="A135" s="10" t="s">
        <v>107</v>
      </c>
      <c r="B135" t="s">
        <v>451</v>
      </c>
      <c r="C135" s="3">
        <v>1</v>
      </c>
      <c r="D135" t="s">
        <v>74</v>
      </c>
      <c r="E135" t="s">
        <v>585</v>
      </c>
      <c r="F135" t="s">
        <v>635</v>
      </c>
    </row>
    <row r="136" spans="1:6" x14ac:dyDescent="0.35">
      <c r="A136" s="10" t="s">
        <v>107</v>
      </c>
      <c r="B136" t="s">
        <v>452</v>
      </c>
      <c r="C136" s="3">
        <v>1</v>
      </c>
      <c r="D136" t="s">
        <v>74</v>
      </c>
      <c r="E136" t="s">
        <v>585</v>
      </c>
      <c r="F136" t="s">
        <v>636</v>
      </c>
    </row>
    <row r="137" spans="1:6" x14ac:dyDescent="0.35">
      <c r="A137" s="10" t="s">
        <v>107</v>
      </c>
      <c r="B137" t="s">
        <v>453</v>
      </c>
      <c r="C137" s="3">
        <v>1</v>
      </c>
      <c r="D137" t="s">
        <v>74</v>
      </c>
      <c r="E137" t="s">
        <v>585</v>
      </c>
      <c r="F137" t="s">
        <v>637</v>
      </c>
    </row>
    <row r="138" spans="1:6" x14ac:dyDescent="0.35">
      <c r="A138" s="10" t="s">
        <v>107</v>
      </c>
      <c r="B138" t="s">
        <v>454</v>
      </c>
      <c r="C138" s="3">
        <v>1</v>
      </c>
      <c r="D138" t="s">
        <v>74</v>
      </c>
      <c r="E138" t="s">
        <v>585</v>
      </c>
      <c r="F138" t="s">
        <v>638</v>
      </c>
    </row>
    <row r="139" spans="1:6" x14ac:dyDescent="0.35">
      <c r="A139" s="10" t="s">
        <v>107</v>
      </c>
      <c r="B139" t="s">
        <v>455</v>
      </c>
      <c r="C139" s="3">
        <v>1</v>
      </c>
      <c r="D139" t="s">
        <v>74</v>
      </c>
      <c r="E139" t="s">
        <v>585</v>
      </c>
      <c r="F139" t="s">
        <v>640</v>
      </c>
    </row>
    <row r="140" spans="1:6" x14ac:dyDescent="0.35">
      <c r="A140" s="10" t="s">
        <v>107</v>
      </c>
      <c r="B140" t="s">
        <v>456</v>
      </c>
      <c r="C140" s="3">
        <v>1</v>
      </c>
      <c r="D140" t="s">
        <v>74</v>
      </c>
      <c r="E140" t="s">
        <v>585</v>
      </c>
      <c r="F140" t="s">
        <v>641</v>
      </c>
    </row>
    <row r="141" spans="1:6" x14ac:dyDescent="0.35">
      <c r="A141" s="10" t="s">
        <v>107</v>
      </c>
      <c r="B141" t="s">
        <v>457</v>
      </c>
      <c r="C141" s="3">
        <v>1</v>
      </c>
      <c r="D141" t="s">
        <v>74</v>
      </c>
      <c r="E141" t="s">
        <v>585</v>
      </c>
      <c r="F141" t="s">
        <v>642</v>
      </c>
    </row>
    <row r="142" spans="1:6" x14ac:dyDescent="0.35">
      <c r="A142" s="10" t="s">
        <v>107</v>
      </c>
      <c r="B142" t="s">
        <v>555</v>
      </c>
      <c r="C142" s="3">
        <v>1</v>
      </c>
      <c r="D142" t="s">
        <v>74</v>
      </c>
      <c r="E142" t="s">
        <v>585</v>
      </c>
      <c r="F142" t="s">
        <v>643</v>
      </c>
    </row>
    <row r="143" spans="1:6" x14ac:dyDescent="0.35">
      <c r="A143" s="10" t="s">
        <v>107</v>
      </c>
      <c r="B143" t="s">
        <v>556</v>
      </c>
      <c r="C143" s="3">
        <v>1</v>
      </c>
      <c r="D143" t="s">
        <v>74</v>
      </c>
      <c r="E143" t="s">
        <v>585</v>
      </c>
      <c r="F143" t="s">
        <v>644</v>
      </c>
    </row>
    <row r="144" spans="1:6" x14ac:dyDescent="0.35">
      <c r="A144" s="10" t="s">
        <v>107</v>
      </c>
      <c r="B144" t="s">
        <v>557</v>
      </c>
      <c r="C144" s="3">
        <v>1</v>
      </c>
      <c r="D144" t="s">
        <v>74</v>
      </c>
      <c r="E144" t="s">
        <v>585</v>
      </c>
      <c r="F144" t="s">
        <v>645</v>
      </c>
    </row>
    <row r="145" spans="1:6" x14ac:dyDescent="0.35">
      <c r="A145" s="10" t="s">
        <v>107</v>
      </c>
      <c r="B145" t="s">
        <v>558</v>
      </c>
      <c r="C145" s="3">
        <v>1</v>
      </c>
      <c r="D145" t="s">
        <v>74</v>
      </c>
      <c r="E145" t="s">
        <v>585</v>
      </c>
      <c r="F145" t="s">
        <v>408</v>
      </c>
    </row>
    <row r="146" spans="1:6" x14ac:dyDescent="0.35">
      <c r="A146" s="10" t="s">
        <v>107</v>
      </c>
      <c r="B146" t="s">
        <v>559</v>
      </c>
      <c r="C146" s="3">
        <v>1</v>
      </c>
      <c r="D146" t="s">
        <v>74</v>
      </c>
      <c r="E146" t="s">
        <v>585</v>
      </c>
      <c r="F146" t="s">
        <v>646</v>
      </c>
    </row>
    <row r="147" spans="1:6" x14ac:dyDescent="0.35">
      <c r="A147" s="10" t="s">
        <v>107</v>
      </c>
      <c r="B147" t="s">
        <v>560</v>
      </c>
      <c r="C147" s="3">
        <v>1</v>
      </c>
      <c r="D147" t="s">
        <v>74</v>
      </c>
      <c r="E147" t="s">
        <v>585</v>
      </c>
      <c r="F147" t="s">
        <v>647</v>
      </c>
    </row>
    <row r="148" spans="1:6" x14ac:dyDescent="0.35">
      <c r="A148" s="10" t="s">
        <v>107</v>
      </c>
      <c r="B148" t="s">
        <v>561</v>
      </c>
      <c r="C148" s="3">
        <v>1</v>
      </c>
      <c r="D148" t="s">
        <v>74</v>
      </c>
      <c r="E148" t="s">
        <v>585</v>
      </c>
      <c r="F148" t="s">
        <v>648</v>
      </c>
    </row>
    <row r="149" spans="1:6" x14ac:dyDescent="0.35">
      <c r="A149" s="10" t="s">
        <v>107</v>
      </c>
      <c r="B149" t="s">
        <v>562</v>
      </c>
      <c r="C149" s="3">
        <v>1</v>
      </c>
      <c r="D149" t="s">
        <v>74</v>
      </c>
      <c r="E149" t="s">
        <v>585</v>
      </c>
      <c r="F149" t="s">
        <v>649</v>
      </c>
    </row>
    <row r="150" spans="1:6" x14ac:dyDescent="0.35">
      <c r="A150" s="10" t="s">
        <v>525</v>
      </c>
      <c r="B150" t="s">
        <v>526</v>
      </c>
      <c r="C150" s="3">
        <v>3.4</v>
      </c>
      <c r="D150" t="s">
        <v>9</v>
      </c>
      <c r="E150" s="36" t="s">
        <v>584</v>
      </c>
    </row>
    <row r="151" spans="1:6" x14ac:dyDescent="0.35">
      <c r="A151" s="13" t="s">
        <v>63</v>
      </c>
      <c r="B151" s="7" t="s">
        <v>64</v>
      </c>
      <c r="C151" s="8">
        <v>1</v>
      </c>
      <c r="D151" s="7" t="s">
        <v>9</v>
      </c>
      <c r="E151" s="36" t="s">
        <v>584</v>
      </c>
    </row>
    <row r="152" spans="1:6" x14ac:dyDescent="0.35">
      <c r="A152" s="10" t="s">
        <v>63</v>
      </c>
      <c r="B152" t="s">
        <v>274</v>
      </c>
      <c r="C152" s="3">
        <v>3.4</v>
      </c>
      <c r="D152" t="s">
        <v>5</v>
      </c>
      <c r="E152" s="36" t="s">
        <v>584</v>
      </c>
    </row>
    <row r="153" spans="1:6" x14ac:dyDescent="0.35">
      <c r="A153" s="10" t="s">
        <v>301</v>
      </c>
      <c r="B153" t="s">
        <v>302</v>
      </c>
      <c r="C153" s="3">
        <v>3.3</v>
      </c>
      <c r="D153" t="s">
        <v>9</v>
      </c>
      <c r="E153" t="s">
        <v>585</v>
      </c>
      <c r="F153" s="9" t="s">
        <v>650</v>
      </c>
    </row>
    <row r="154" spans="1:6" x14ac:dyDescent="0.35">
      <c r="A154" s="10" t="s">
        <v>301</v>
      </c>
      <c r="B154" t="s">
        <v>303</v>
      </c>
      <c r="C154" s="3">
        <v>3.3</v>
      </c>
      <c r="D154" t="s">
        <v>9</v>
      </c>
      <c r="E154" t="s">
        <v>585</v>
      </c>
      <c r="F154" t="s">
        <v>651</v>
      </c>
    </row>
    <row r="155" spans="1:6" x14ac:dyDescent="0.35">
      <c r="A155" s="10" t="s">
        <v>301</v>
      </c>
      <c r="B155" t="s">
        <v>304</v>
      </c>
      <c r="C155" s="3">
        <v>3.3</v>
      </c>
      <c r="D155" t="s">
        <v>9</v>
      </c>
      <c r="E155" t="s">
        <v>585</v>
      </c>
      <c r="F155" s="9" t="s">
        <v>652</v>
      </c>
    </row>
    <row r="156" spans="1:6" x14ac:dyDescent="0.35">
      <c r="A156" s="10" t="s">
        <v>301</v>
      </c>
      <c r="B156" t="s">
        <v>305</v>
      </c>
      <c r="C156" s="3">
        <v>3.3</v>
      </c>
      <c r="D156" t="s">
        <v>9</v>
      </c>
      <c r="E156" t="s">
        <v>585</v>
      </c>
      <c r="F156" s="9" t="s">
        <v>653</v>
      </c>
    </row>
    <row r="157" spans="1:6" x14ac:dyDescent="0.35">
      <c r="A157" s="10" t="s">
        <v>301</v>
      </c>
      <c r="B157" t="s">
        <v>306</v>
      </c>
      <c r="C157" s="3">
        <v>3.3</v>
      </c>
      <c r="D157" t="s">
        <v>9</v>
      </c>
      <c r="E157" t="s">
        <v>585</v>
      </c>
      <c r="F157" s="9" t="s">
        <v>654</v>
      </c>
    </row>
    <row r="158" spans="1:6" x14ac:dyDescent="0.35">
      <c r="A158" s="10" t="s">
        <v>301</v>
      </c>
      <c r="B158" t="s">
        <v>336</v>
      </c>
      <c r="C158" s="3">
        <v>3.3</v>
      </c>
      <c r="D158" t="s">
        <v>9</v>
      </c>
      <c r="E158" t="s">
        <v>585</v>
      </c>
      <c r="F158" s="9" t="s">
        <v>655</v>
      </c>
    </row>
    <row r="159" spans="1:6" x14ac:dyDescent="0.35">
      <c r="A159" s="10" t="s">
        <v>532</v>
      </c>
      <c r="B159" t="s">
        <v>533</v>
      </c>
      <c r="C159" s="3">
        <v>1</v>
      </c>
      <c r="D159" t="s">
        <v>74</v>
      </c>
      <c r="E159" s="36" t="s">
        <v>584</v>
      </c>
      <c r="F159" s="9"/>
    </row>
    <row r="160" spans="1:6" x14ac:dyDescent="0.35">
      <c r="A160" s="10" t="s">
        <v>532</v>
      </c>
      <c r="B160" t="s">
        <v>534</v>
      </c>
      <c r="C160" s="3">
        <v>1</v>
      </c>
      <c r="D160" t="s">
        <v>74</v>
      </c>
      <c r="E160" s="36" t="s">
        <v>584</v>
      </c>
      <c r="F160" s="9"/>
    </row>
    <row r="161" spans="1:5" x14ac:dyDescent="0.35">
      <c r="A161" s="13" t="s">
        <v>82</v>
      </c>
      <c r="B161" s="7" t="s">
        <v>83</v>
      </c>
      <c r="C161" s="8">
        <v>3.3</v>
      </c>
      <c r="D161" s="7" t="s">
        <v>9</v>
      </c>
      <c r="E161" s="36" t="s">
        <v>584</v>
      </c>
    </row>
    <row r="162" spans="1:5" x14ac:dyDescent="0.35">
      <c r="A162" s="10" t="s">
        <v>224</v>
      </c>
      <c r="B162" s="6" t="s">
        <v>225</v>
      </c>
      <c r="C162" s="3">
        <v>4</v>
      </c>
      <c r="D162" t="s">
        <v>5</v>
      </c>
      <c r="E162" s="36" t="s">
        <v>584</v>
      </c>
    </row>
    <row r="163" spans="1:5" x14ac:dyDescent="0.35">
      <c r="A163" s="10" t="s">
        <v>91</v>
      </c>
      <c r="B163" t="s">
        <v>7</v>
      </c>
      <c r="C163" s="3">
        <v>4</v>
      </c>
      <c r="D163" t="s">
        <v>5</v>
      </c>
      <c r="E163" s="36" t="s">
        <v>584</v>
      </c>
    </row>
    <row r="164" spans="1:5" x14ac:dyDescent="0.35">
      <c r="A164" s="10" t="s">
        <v>426</v>
      </c>
      <c r="B164" t="s">
        <v>427</v>
      </c>
      <c r="C164" s="3">
        <v>3.3</v>
      </c>
      <c r="D164" t="s">
        <v>5</v>
      </c>
      <c r="E164" s="36" t="s">
        <v>584</v>
      </c>
    </row>
    <row r="165" spans="1:5" x14ac:dyDescent="0.35">
      <c r="A165" s="10" t="s">
        <v>426</v>
      </c>
      <c r="B165" t="s">
        <v>428</v>
      </c>
      <c r="C165" s="3">
        <v>3.3</v>
      </c>
      <c r="D165" t="s">
        <v>9</v>
      </c>
      <c r="E165" s="36" t="s">
        <v>584</v>
      </c>
    </row>
    <row r="166" spans="1:5" x14ac:dyDescent="0.35">
      <c r="A166" s="10" t="s">
        <v>426</v>
      </c>
      <c r="B166" t="s">
        <v>442</v>
      </c>
      <c r="C166" s="3">
        <v>3.3</v>
      </c>
      <c r="D166" t="s">
        <v>5</v>
      </c>
      <c r="E166" s="36" t="s">
        <v>584</v>
      </c>
    </row>
    <row r="167" spans="1:5" x14ac:dyDescent="0.35">
      <c r="A167" s="10" t="s">
        <v>158</v>
      </c>
      <c r="B167" t="s">
        <v>423</v>
      </c>
      <c r="C167" s="3">
        <v>3.3</v>
      </c>
      <c r="D167" t="s">
        <v>9</v>
      </c>
      <c r="E167" s="36" t="s">
        <v>584</v>
      </c>
    </row>
    <row r="168" spans="1:5" x14ac:dyDescent="0.35">
      <c r="A168" s="10" t="s">
        <v>158</v>
      </c>
      <c r="B168" t="s">
        <v>424</v>
      </c>
      <c r="C168" s="3">
        <v>5</v>
      </c>
      <c r="D168" t="s">
        <v>5</v>
      </c>
      <c r="E168" s="36" t="s">
        <v>584</v>
      </c>
    </row>
    <row r="169" spans="1:5" x14ac:dyDescent="0.35">
      <c r="A169" s="10" t="s">
        <v>158</v>
      </c>
      <c r="B169" t="s">
        <v>425</v>
      </c>
      <c r="C169" s="3">
        <v>5</v>
      </c>
      <c r="D169" t="s">
        <v>5</v>
      </c>
      <c r="E169" s="36" t="s">
        <v>584</v>
      </c>
    </row>
    <row r="170" spans="1:5" x14ac:dyDescent="0.35">
      <c r="A170" s="10" t="s">
        <v>158</v>
      </c>
      <c r="B170" t="s">
        <v>478</v>
      </c>
      <c r="C170" s="3">
        <v>3.3</v>
      </c>
      <c r="D170" t="s">
        <v>9</v>
      </c>
      <c r="E170" s="36" t="s">
        <v>584</v>
      </c>
    </row>
    <row r="171" spans="1:5" x14ac:dyDescent="0.35">
      <c r="A171" s="10" t="s">
        <v>97</v>
      </c>
      <c r="B171" t="s">
        <v>409</v>
      </c>
      <c r="C171" s="3">
        <v>2.5</v>
      </c>
      <c r="D171" t="s">
        <v>5</v>
      </c>
      <c r="E171" s="36" t="s">
        <v>584</v>
      </c>
    </row>
    <row r="172" spans="1:5" x14ac:dyDescent="0.35">
      <c r="A172" s="10" t="s">
        <v>97</v>
      </c>
      <c r="B172" t="s">
        <v>408</v>
      </c>
      <c r="C172">
        <v>2.5</v>
      </c>
      <c r="D172" t="s">
        <v>5</v>
      </c>
      <c r="E172" s="36" t="s">
        <v>584</v>
      </c>
    </row>
    <row r="173" spans="1:5" x14ac:dyDescent="0.35">
      <c r="A173" s="10" t="s">
        <v>92</v>
      </c>
      <c r="B173" t="s">
        <v>93</v>
      </c>
      <c r="C173">
        <v>4.2</v>
      </c>
      <c r="D173" t="s">
        <v>5</v>
      </c>
      <c r="E173" s="36" t="s">
        <v>584</v>
      </c>
    </row>
    <row r="174" spans="1:5" x14ac:dyDescent="0.35">
      <c r="A174" s="10" t="s">
        <v>22</v>
      </c>
      <c r="B174" t="s">
        <v>23</v>
      </c>
      <c r="C174">
        <v>4.2</v>
      </c>
      <c r="D174" t="s">
        <v>5</v>
      </c>
      <c r="E174" s="36" t="s">
        <v>584</v>
      </c>
    </row>
    <row r="175" spans="1:5" x14ac:dyDescent="0.35">
      <c r="A175" s="10" t="s">
        <v>22</v>
      </c>
      <c r="B175" s="1" t="s">
        <v>24</v>
      </c>
      <c r="C175">
        <v>4.2</v>
      </c>
      <c r="D175" t="s">
        <v>5</v>
      </c>
      <c r="E175" s="36" t="s">
        <v>584</v>
      </c>
    </row>
    <row r="176" spans="1:5" x14ac:dyDescent="0.35">
      <c r="A176" s="10" t="s">
        <v>77</v>
      </c>
      <c r="B176" t="s">
        <v>78</v>
      </c>
      <c r="C176" s="3">
        <v>1</v>
      </c>
      <c r="D176" t="s">
        <v>74</v>
      </c>
      <c r="E176" s="36" t="s">
        <v>584</v>
      </c>
    </row>
    <row r="177" spans="1:6" x14ac:dyDescent="0.35">
      <c r="A177" s="10" t="s">
        <v>421</v>
      </c>
      <c r="B177" t="s">
        <v>422</v>
      </c>
      <c r="C177" s="3">
        <v>3.4</v>
      </c>
      <c r="D177" t="s">
        <v>5</v>
      </c>
      <c r="E177" s="36" t="s">
        <v>584</v>
      </c>
    </row>
    <row r="178" spans="1:6" x14ac:dyDescent="0.35">
      <c r="A178" s="10" t="s">
        <v>48</v>
      </c>
      <c r="B178" t="s">
        <v>49</v>
      </c>
      <c r="C178">
        <v>3.3</v>
      </c>
      <c r="D178" t="s">
        <v>5</v>
      </c>
      <c r="E178" s="36" t="s">
        <v>584</v>
      </c>
    </row>
    <row r="179" spans="1:6" x14ac:dyDescent="0.35">
      <c r="A179" s="10" t="s">
        <v>48</v>
      </c>
      <c r="B179" t="s">
        <v>405</v>
      </c>
      <c r="C179">
        <v>2.5</v>
      </c>
      <c r="D179" t="s">
        <v>5</v>
      </c>
      <c r="E179" s="36" t="s">
        <v>584</v>
      </c>
    </row>
    <row r="180" spans="1:6" x14ac:dyDescent="0.35">
      <c r="A180" s="10" t="s">
        <v>48</v>
      </c>
      <c r="B180" t="s">
        <v>50</v>
      </c>
      <c r="C180">
        <v>1.3</v>
      </c>
      <c r="D180" t="s">
        <v>5</v>
      </c>
      <c r="E180" s="36" t="s">
        <v>584</v>
      </c>
    </row>
    <row r="181" spans="1:6" x14ac:dyDescent="0.35">
      <c r="A181" s="10" t="s">
        <v>276</v>
      </c>
      <c r="B181" t="s">
        <v>277</v>
      </c>
      <c r="C181">
        <v>1.7</v>
      </c>
      <c r="D181" t="s">
        <v>5</v>
      </c>
      <c r="E181" s="36" t="s">
        <v>584</v>
      </c>
    </row>
    <row r="182" spans="1:6" x14ac:dyDescent="0.35">
      <c r="A182" s="10" t="s">
        <v>445</v>
      </c>
      <c r="B182" t="s">
        <v>445</v>
      </c>
      <c r="C182">
        <v>3.3</v>
      </c>
      <c r="D182" t="s">
        <v>5</v>
      </c>
      <c r="E182" s="36" t="s">
        <v>584</v>
      </c>
    </row>
    <row r="183" spans="1:6" x14ac:dyDescent="0.35">
      <c r="A183" s="10" t="s">
        <v>44</v>
      </c>
      <c r="B183" t="s">
        <v>498</v>
      </c>
      <c r="C183">
        <v>3.3</v>
      </c>
      <c r="D183" t="s">
        <v>5</v>
      </c>
      <c r="E183" s="36" t="s">
        <v>584</v>
      </c>
    </row>
    <row r="184" spans="1:6" x14ac:dyDescent="0.35">
      <c r="A184" s="10" t="s">
        <v>44</v>
      </c>
      <c r="B184" t="s">
        <v>45</v>
      </c>
      <c r="C184">
        <v>3.3</v>
      </c>
      <c r="D184" t="s">
        <v>5</v>
      </c>
      <c r="E184" s="36" t="s">
        <v>584</v>
      </c>
    </row>
    <row r="185" spans="1:6" x14ac:dyDescent="0.35">
      <c r="A185" s="10" t="s">
        <v>44</v>
      </c>
      <c r="B185" t="s">
        <v>7</v>
      </c>
      <c r="C185">
        <v>3.4</v>
      </c>
      <c r="D185" t="s">
        <v>5</v>
      </c>
      <c r="E185" s="36" t="s">
        <v>584</v>
      </c>
    </row>
    <row r="186" spans="1:6" x14ac:dyDescent="0.35">
      <c r="A186" s="10" t="s">
        <v>568</v>
      </c>
      <c r="B186" s="35" t="s">
        <v>548</v>
      </c>
      <c r="C186" s="7">
        <v>1.7</v>
      </c>
      <c r="D186" s="7" t="s">
        <v>5</v>
      </c>
      <c r="E186" s="36" t="s">
        <v>584</v>
      </c>
      <c r="F186" t="s">
        <v>566</v>
      </c>
    </row>
    <row r="187" spans="1:6" x14ac:dyDescent="0.35">
      <c r="A187" s="10" t="s">
        <v>568</v>
      </c>
      <c r="B187" s="35" t="s">
        <v>548</v>
      </c>
      <c r="C187" s="7">
        <v>2</v>
      </c>
      <c r="D187" s="7" t="s">
        <v>52</v>
      </c>
      <c r="E187" s="36" t="s">
        <v>584</v>
      </c>
      <c r="F187" t="s">
        <v>567</v>
      </c>
    </row>
    <row r="188" spans="1:6" x14ac:dyDescent="0.35">
      <c r="A188" s="10" t="s">
        <v>348</v>
      </c>
      <c r="B188" t="s">
        <v>349</v>
      </c>
      <c r="C188">
        <v>3.4</v>
      </c>
      <c r="D188" t="s">
        <v>52</v>
      </c>
      <c r="E188" s="36" t="s">
        <v>584</v>
      </c>
    </row>
    <row r="189" spans="1:6" x14ac:dyDescent="0.35">
      <c r="A189" s="10" t="s">
        <v>35</v>
      </c>
      <c r="B189" t="s">
        <v>71</v>
      </c>
      <c r="C189">
        <v>4.2</v>
      </c>
      <c r="D189" t="s">
        <v>5</v>
      </c>
      <c r="E189" s="36" t="s">
        <v>584</v>
      </c>
    </row>
    <row r="190" spans="1:6" x14ac:dyDescent="0.35">
      <c r="A190" s="10" t="s">
        <v>35</v>
      </c>
      <c r="B190" t="s">
        <v>241</v>
      </c>
      <c r="C190">
        <v>4.2</v>
      </c>
      <c r="D190" t="s">
        <v>5</v>
      </c>
      <c r="E190" s="36" t="s">
        <v>584</v>
      </c>
      <c r="F190" t="s">
        <v>242</v>
      </c>
    </row>
    <row r="191" spans="1:6" x14ac:dyDescent="0.35">
      <c r="A191" s="10" t="s">
        <v>35</v>
      </c>
      <c r="B191" t="s">
        <v>65</v>
      </c>
      <c r="C191">
        <v>4.2</v>
      </c>
      <c r="D191" t="s">
        <v>5</v>
      </c>
      <c r="E191" s="36" t="s">
        <v>584</v>
      </c>
    </row>
    <row r="192" spans="1:6" x14ac:dyDescent="0.35">
      <c r="A192" s="10" t="s">
        <v>35</v>
      </c>
      <c r="B192" t="s">
        <v>36</v>
      </c>
      <c r="C192">
        <v>2.5</v>
      </c>
      <c r="D192" t="s">
        <v>5</v>
      </c>
      <c r="E192" s="36" t="s">
        <v>584</v>
      </c>
    </row>
    <row r="193" spans="1:6" x14ac:dyDescent="0.35">
      <c r="A193" s="10" t="s">
        <v>94</v>
      </c>
      <c r="B193" t="s">
        <v>7</v>
      </c>
      <c r="C193">
        <v>4.2</v>
      </c>
      <c r="D193" t="s">
        <v>5</v>
      </c>
      <c r="E193" s="36" t="s">
        <v>584</v>
      </c>
    </row>
    <row r="194" spans="1:6" x14ac:dyDescent="0.35">
      <c r="A194" s="10" t="s">
        <v>98</v>
      </c>
      <c r="B194" t="s">
        <v>99</v>
      </c>
      <c r="C194">
        <v>2.5</v>
      </c>
      <c r="D194" t="s">
        <v>9</v>
      </c>
      <c r="E194" s="36" t="s">
        <v>584</v>
      </c>
    </row>
    <row r="195" spans="1:6" x14ac:dyDescent="0.35">
      <c r="A195" s="10" t="s">
        <v>136</v>
      </c>
      <c r="B195" t="s">
        <v>137</v>
      </c>
      <c r="C195">
        <v>3.4</v>
      </c>
      <c r="D195" t="s">
        <v>9</v>
      </c>
      <c r="E195" s="36" t="s">
        <v>584</v>
      </c>
    </row>
    <row r="196" spans="1:6" x14ac:dyDescent="0.35">
      <c r="A196" s="10" t="s">
        <v>385</v>
      </c>
      <c r="B196" t="s">
        <v>284</v>
      </c>
      <c r="C196">
        <v>5</v>
      </c>
      <c r="D196" t="s">
        <v>5</v>
      </c>
      <c r="E196" s="36" t="s">
        <v>584</v>
      </c>
    </row>
    <row r="197" spans="1:6" x14ac:dyDescent="0.35">
      <c r="A197" s="10" t="s">
        <v>10</v>
      </c>
      <c r="B197" t="s">
        <v>7</v>
      </c>
      <c r="C197">
        <v>4.2</v>
      </c>
      <c r="D197" t="s">
        <v>9</v>
      </c>
      <c r="E197" s="36" t="s">
        <v>584</v>
      </c>
    </row>
    <row r="198" spans="1:6" x14ac:dyDescent="0.35">
      <c r="A198" s="10" t="s">
        <v>10</v>
      </c>
      <c r="B198" t="s">
        <v>11</v>
      </c>
      <c r="C198">
        <v>3.3</v>
      </c>
      <c r="D198" t="s">
        <v>5</v>
      </c>
      <c r="E198" s="36" t="s">
        <v>584</v>
      </c>
    </row>
    <row r="199" spans="1:6" x14ac:dyDescent="0.35">
      <c r="A199" s="10" t="s">
        <v>292</v>
      </c>
      <c r="B199" t="s">
        <v>294</v>
      </c>
      <c r="C199">
        <v>3.3</v>
      </c>
      <c r="D199" t="s">
        <v>9</v>
      </c>
      <c r="E199" t="s">
        <v>585</v>
      </c>
      <c r="F199" t="s">
        <v>651</v>
      </c>
    </row>
    <row r="200" spans="1:6" x14ac:dyDescent="0.35">
      <c r="A200" s="10" t="s">
        <v>292</v>
      </c>
      <c r="B200" t="s">
        <v>293</v>
      </c>
      <c r="C200">
        <v>3.3</v>
      </c>
      <c r="D200" t="s">
        <v>9</v>
      </c>
      <c r="E200" s="36" t="s">
        <v>584</v>
      </c>
    </row>
    <row r="201" spans="1:6" x14ac:dyDescent="0.35">
      <c r="A201" s="10" t="s">
        <v>292</v>
      </c>
      <c r="B201" t="s">
        <v>295</v>
      </c>
      <c r="C201">
        <v>3.3</v>
      </c>
      <c r="D201" t="s">
        <v>9</v>
      </c>
      <c r="E201" t="s">
        <v>585</v>
      </c>
      <c r="F201" t="s">
        <v>656</v>
      </c>
    </row>
    <row r="202" spans="1:6" x14ac:dyDescent="0.35">
      <c r="A202" s="10" t="s">
        <v>292</v>
      </c>
      <c r="B202" t="s">
        <v>296</v>
      </c>
      <c r="C202">
        <v>3.3</v>
      </c>
      <c r="D202" t="s">
        <v>9</v>
      </c>
      <c r="E202" s="36" t="s">
        <v>584</v>
      </c>
    </row>
    <row r="203" spans="1:6" x14ac:dyDescent="0.35">
      <c r="A203" s="10" t="s">
        <v>292</v>
      </c>
      <c r="B203" t="s">
        <v>297</v>
      </c>
      <c r="C203">
        <v>3.3</v>
      </c>
      <c r="D203" t="s">
        <v>9</v>
      </c>
      <c r="E203" s="36" t="s">
        <v>584</v>
      </c>
    </row>
    <row r="204" spans="1:6" x14ac:dyDescent="0.35">
      <c r="A204" s="10" t="s">
        <v>292</v>
      </c>
      <c r="B204" t="s">
        <v>298</v>
      </c>
      <c r="C204">
        <v>3.3</v>
      </c>
      <c r="D204" t="s">
        <v>9</v>
      </c>
      <c r="E204" t="s">
        <v>585</v>
      </c>
      <c r="F204" t="s">
        <v>657</v>
      </c>
    </row>
    <row r="205" spans="1:6" x14ac:dyDescent="0.35">
      <c r="A205" s="10" t="s">
        <v>292</v>
      </c>
      <c r="B205" t="s">
        <v>299</v>
      </c>
      <c r="C205">
        <v>3.3</v>
      </c>
      <c r="D205" t="s">
        <v>9</v>
      </c>
      <c r="E205" t="s">
        <v>585</v>
      </c>
      <c r="F205" t="s">
        <v>658</v>
      </c>
    </row>
    <row r="206" spans="1:6" x14ac:dyDescent="0.35">
      <c r="A206" s="10" t="s">
        <v>292</v>
      </c>
      <c r="B206" t="s">
        <v>300</v>
      </c>
      <c r="C206">
        <v>3.3</v>
      </c>
      <c r="D206" t="s">
        <v>9</v>
      </c>
      <c r="E206" s="36" t="s">
        <v>584</v>
      </c>
    </row>
    <row r="207" spans="1:6" x14ac:dyDescent="0.35">
      <c r="A207" s="10" t="s">
        <v>292</v>
      </c>
      <c r="B207" t="s">
        <v>312</v>
      </c>
      <c r="C207">
        <v>3.3</v>
      </c>
      <c r="D207" t="s">
        <v>9</v>
      </c>
      <c r="E207" s="36" t="s">
        <v>584</v>
      </c>
    </row>
    <row r="208" spans="1:6" x14ac:dyDescent="0.35">
      <c r="A208" s="10" t="s">
        <v>292</v>
      </c>
      <c r="B208" t="s">
        <v>313</v>
      </c>
      <c r="C208">
        <v>3.3</v>
      </c>
      <c r="D208" t="s">
        <v>9</v>
      </c>
      <c r="E208" t="s">
        <v>585</v>
      </c>
      <c r="F208" t="s">
        <v>659</v>
      </c>
    </row>
    <row r="209" spans="1:6" x14ac:dyDescent="0.35">
      <c r="A209" s="10" t="s">
        <v>292</v>
      </c>
      <c r="B209" t="s">
        <v>314</v>
      </c>
      <c r="C209">
        <v>3.3</v>
      </c>
      <c r="D209" t="s">
        <v>9</v>
      </c>
      <c r="E209" t="s">
        <v>585</v>
      </c>
      <c r="F209" t="s">
        <v>660</v>
      </c>
    </row>
    <row r="210" spans="1:6" x14ac:dyDescent="0.35">
      <c r="A210" s="10" t="s">
        <v>292</v>
      </c>
      <c r="B210" t="s">
        <v>315</v>
      </c>
      <c r="C210">
        <v>3.3</v>
      </c>
      <c r="D210" t="s">
        <v>9</v>
      </c>
      <c r="E210" s="36" t="s">
        <v>584</v>
      </c>
    </row>
    <row r="211" spans="1:6" x14ac:dyDescent="0.35">
      <c r="A211" s="10" t="s">
        <v>292</v>
      </c>
      <c r="B211" t="s">
        <v>316</v>
      </c>
      <c r="C211">
        <v>3.3</v>
      </c>
      <c r="D211" t="s">
        <v>9</v>
      </c>
      <c r="E211" t="s">
        <v>585</v>
      </c>
      <c r="F211" t="s">
        <v>661</v>
      </c>
    </row>
    <row r="212" spans="1:6" x14ac:dyDescent="0.35">
      <c r="A212" s="10" t="s">
        <v>292</v>
      </c>
      <c r="B212" t="s">
        <v>317</v>
      </c>
      <c r="C212">
        <v>3.3</v>
      </c>
      <c r="D212" t="s">
        <v>9</v>
      </c>
      <c r="E212" s="36" t="s">
        <v>584</v>
      </c>
    </row>
    <row r="213" spans="1:6" x14ac:dyDescent="0.35">
      <c r="A213" s="10" t="s">
        <v>292</v>
      </c>
      <c r="B213" t="s">
        <v>318</v>
      </c>
      <c r="C213">
        <v>3.3</v>
      </c>
      <c r="D213" t="s">
        <v>9</v>
      </c>
      <c r="E213" s="36" t="s">
        <v>584</v>
      </c>
    </row>
    <row r="214" spans="1:6" x14ac:dyDescent="0.35">
      <c r="A214" s="10" t="s">
        <v>292</v>
      </c>
      <c r="B214" t="s">
        <v>319</v>
      </c>
      <c r="C214">
        <v>3.3</v>
      </c>
      <c r="D214" t="s">
        <v>9</v>
      </c>
      <c r="E214" t="s">
        <v>585</v>
      </c>
      <c r="F214" s="9" t="s">
        <v>662</v>
      </c>
    </row>
    <row r="215" spans="1:6" x14ac:dyDescent="0.35">
      <c r="A215" s="10" t="s">
        <v>292</v>
      </c>
      <c r="B215" t="s">
        <v>435</v>
      </c>
      <c r="C215">
        <v>3.4</v>
      </c>
      <c r="D215" t="s">
        <v>9</v>
      </c>
      <c r="E215" s="36" t="s">
        <v>584</v>
      </c>
      <c r="F215" s="9"/>
    </row>
    <row r="216" spans="1:6" x14ac:dyDescent="0.35">
      <c r="A216" s="10" t="s">
        <v>292</v>
      </c>
      <c r="B216" t="s">
        <v>436</v>
      </c>
      <c r="C216">
        <v>3.4</v>
      </c>
      <c r="D216" t="s">
        <v>9</v>
      </c>
      <c r="E216" t="s">
        <v>585</v>
      </c>
      <c r="F216" s="9" t="s">
        <v>663</v>
      </c>
    </row>
    <row r="217" spans="1:6" x14ac:dyDescent="0.35">
      <c r="A217" s="10" t="s">
        <v>292</v>
      </c>
      <c r="B217" t="s">
        <v>446</v>
      </c>
      <c r="C217">
        <v>3.4</v>
      </c>
      <c r="D217" t="s">
        <v>9</v>
      </c>
      <c r="E217" s="36" t="s">
        <v>584</v>
      </c>
      <c r="F217" s="9"/>
    </row>
    <row r="218" spans="1:6" x14ac:dyDescent="0.35">
      <c r="A218" s="10" t="s">
        <v>416</v>
      </c>
      <c r="B218" t="s">
        <v>417</v>
      </c>
      <c r="C218">
        <v>3.3</v>
      </c>
      <c r="D218" t="s">
        <v>5</v>
      </c>
      <c r="E218" s="36" t="s">
        <v>584</v>
      </c>
      <c r="F218" s="9"/>
    </row>
    <row r="219" spans="1:6" x14ac:dyDescent="0.35">
      <c r="A219" s="10" t="s">
        <v>550</v>
      </c>
      <c r="B219" t="s">
        <v>287</v>
      </c>
      <c r="C219">
        <v>3.4</v>
      </c>
      <c r="D219" t="s">
        <v>5</v>
      </c>
      <c r="E219" s="36" t="s">
        <v>584</v>
      </c>
      <c r="F219" s="9"/>
    </row>
    <row r="220" spans="1:6" x14ac:dyDescent="0.35">
      <c r="A220" s="10" t="s">
        <v>438</v>
      </c>
      <c r="B220" t="s">
        <v>7</v>
      </c>
      <c r="C220">
        <v>3.3</v>
      </c>
      <c r="D220" t="s">
        <v>5</v>
      </c>
      <c r="E220" s="36" t="s">
        <v>584</v>
      </c>
      <c r="F220" s="9"/>
    </row>
    <row r="221" spans="1:6" x14ac:dyDescent="0.35">
      <c r="A221" s="10" t="s">
        <v>308</v>
      </c>
      <c r="B221" t="s">
        <v>309</v>
      </c>
      <c r="C221">
        <v>3.3</v>
      </c>
      <c r="D221" t="s">
        <v>310</v>
      </c>
      <c r="E221" t="s">
        <v>585</v>
      </c>
      <c r="F221" t="s">
        <v>664</v>
      </c>
    </row>
    <row r="222" spans="1:6" x14ac:dyDescent="0.35">
      <c r="A222" s="10" t="s">
        <v>308</v>
      </c>
      <c r="B222" t="s">
        <v>320</v>
      </c>
      <c r="C222">
        <v>3.3</v>
      </c>
      <c r="D222" t="s">
        <v>321</v>
      </c>
      <c r="E222" t="s">
        <v>585</v>
      </c>
      <c r="F222" t="s">
        <v>665</v>
      </c>
    </row>
    <row r="223" spans="1:6" x14ac:dyDescent="0.35">
      <c r="A223" s="10" t="s">
        <v>308</v>
      </c>
      <c r="B223" t="s">
        <v>322</v>
      </c>
      <c r="C223">
        <v>3.3</v>
      </c>
      <c r="D223" t="s">
        <v>321</v>
      </c>
      <c r="E223" t="s">
        <v>585</v>
      </c>
      <c r="F223" t="s">
        <v>666</v>
      </c>
    </row>
    <row r="224" spans="1:6" x14ac:dyDescent="0.35">
      <c r="A224" s="10" t="s">
        <v>308</v>
      </c>
      <c r="B224" t="s">
        <v>323</v>
      </c>
      <c r="C224">
        <v>3.3</v>
      </c>
      <c r="D224" t="s">
        <v>321</v>
      </c>
      <c r="E224" t="s">
        <v>585</v>
      </c>
      <c r="F224" t="s">
        <v>620</v>
      </c>
    </row>
    <row r="225" spans="1:6" x14ac:dyDescent="0.35">
      <c r="A225" s="10" t="s">
        <v>308</v>
      </c>
      <c r="B225" t="s">
        <v>324</v>
      </c>
      <c r="C225">
        <v>3.3</v>
      </c>
      <c r="D225" t="s">
        <v>9</v>
      </c>
      <c r="E225" t="s">
        <v>585</v>
      </c>
      <c r="F225" s="9" t="s">
        <v>667</v>
      </c>
    </row>
    <row r="226" spans="1:6" x14ac:dyDescent="0.35">
      <c r="A226" s="10" t="s">
        <v>308</v>
      </c>
      <c r="B226" t="s">
        <v>325</v>
      </c>
      <c r="C226">
        <v>3.3</v>
      </c>
      <c r="D226" t="s">
        <v>9</v>
      </c>
      <c r="E226" t="s">
        <v>585</v>
      </c>
      <c r="F226" s="9" t="s">
        <v>668</v>
      </c>
    </row>
    <row r="227" spans="1:6" x14ac:dyDescent="0.35">
      <c r="A227" s="10" t="s">
        <v>308</v>
      </c>
      <c r="B227" t="s">
        <v>326</v>
      </c>
      <c r="C227">
        <v>3.3</v>
      </c>
      <c r="D227" t="s">
        <v>9</v>
      </c>
      <c r="E227" t="s">
        <v>585</v>
      </c>
      <c r="F227" s="9" t="s">
        <v>669</v>
      </c>
    </row>
    <row r="228" spans="1:6" x14ac:dyDescent="0.35">
      <c r="A228" s="10" t="s">
        <v>308</v>
      </c>
      <c r="B228" t="s">
        <v>311</v>
      </c>
      <c r="C228">
        <v>3.3</v>
      </c>
      <c r="D228" t="s">
        <v>9</v>
      </c>
      <c r="E228" t="s">
        <v>585</v>
      </c>
      <c r="F228" t="s">
        <v>670</v>
      </c>
    </row>
    <row r="229" spans="1:6" x14ac:dyDescent="0.35">
      <c r="A229" s="10" t="s">
        <v>134</v>
      </c>
      <c r="B229" t="s">
        <v>135</v>
      </c>
      <c r="C229">
        <v>3.4</v>
      </c>
      <c r="D229" t="s">
        <v>5</v>
      </c>
      <c r="E229" s="36" t="s">
        <v>584</v>
      </c>
    </row>
    <row r="230" spans="1:6" x14ac:dyDescent="0.35">
      <c r="A230" s="10" t="s">
        <v>33</v>
      </c>
      <c r="B230" t="s">
        <v>34</v>
      </c>
      <c r="C230" s="3">
        <v>4</v>
      </c>
      <c r="D230" t="s">
        <v>9</v>
      </c>
      <c r="E230" s="36" t="s">
        <v>584</v>
      </c>
    </row>
    <row r="231" spans="1:6" x14ac:dyDescent="0.35">
      <c r="A231" s="10" t="s">
        <v>33</v>
      </c>
      <c r="B231" t="s">
        <v>88</v>
      </c>
      <c r="C231" s="3">
        <v>4</v>
      </c>
      <c r="D231" t="s">
        <v>9</v>
      </c>
      <c r="E231" s="36" t="s">
        <v>584</v>
      </c>
    </row>
    <row r="232" spans="1:6" x14ac:dyDescent="0.35">
      <c r="A232" s="10" t="s">
        <v>551</v>
      </c>
      <c r="B232" t="s">
        <v>520</v>
      </c>
      <c r="C232" s="3">
        <v>3.4</v>
      </c>
      <c r="D232" t="s">
        <v>5</v>
      </c>
      <c r="E232" s="36" t="s">
        <v>584</v>
      </c>
    </row>
    <row r="233" spans="1:6" x14ac:dyDescent="0.35">
      <c r="A233" s="10" t="s">
        <v>552</v>
      </c>
      <c r="B233" t="s">
        <v>279</v>
      </c>
      <c r="C233" s="3">
        <v>3.3</v>
      </c>
      <c r="D233" t="s">
        <v>5</v>
      </c>
      <c r="E233" s="36" t="s">
        <v>584</v>
      </c>
    </row>
    <row r="234" spans="1:6" x14ac:dyDescent="0.35">
      <c r="A234" s="10" t="s">
        <v>345</v>
      </c>
      <c r="B234" t="s">
        <v>346</v>
      </c>
      <c r="C234" s="3">
        <v>1.7</v>
      </c>
      <c r="D234" t="s">
        <v>5</v>
      </c>
      <c r="E234" s="36" t="s">
        <v>584</v>
      </c>
      <c r="F234" t="s">
        <v>347</v>
      </c>
    </row>
    <row r="235" spans="1:6" x14ac:dyDescent="0.35">
      <c r="A235" s="10" t="s">
        <v>39</v>
      </c>
      <c r="B235" t="s">
        <v>40</v>
      </c>
      <c r="C235">
        <v>2.5</v>
      </c>
      <c r="D235" t="s">
        <v>5</v>
      </c>
      <c r="E235" s="36" t="s">
        <v>584</v>
      </c>
    </row>
    <row r="236" spans="1:6" x14ac:dyDescent="0.35">
      <c r="A236" s="10" t="s">
        <v>485</v>
      </c>
      <c r="B236" t="s">
        <v>486</v>
      </c>
      <c r="C236">
        <v>1.7</v>
      </c>
      <c r="D236" t="s">
        <v>9</v>
      </c>
      <c r="E236" t="s">
        <v>585</v>
      </c>
      <c r="F236" t="s">
        <v>671</v>
      </c>
    </row>
    <row r="237" spans="1:6" x14ac:dyDescent="0.35">
      <c r="A237" s="10" t="s">
        <v>485</v>
      </c>
      <c r="B237" t="s">
        <v>487</v>
      </c>
      <c r="C237">
        <v>1.7</v>
      </c>
      <c r="D237" t="s">
        <v>9</v>
      </c>
      <c r="E237" t="s">
        <v>585</v>
      </c>
      <c r="F237" t="s">
        <v>672</v>
      </c>
    </row>
    <row r="238" spans="1:6" x14ac:dyDescent="0.35">
      <c r="A238" s="10" t="s">
        <v>485</v>
      </c>
      <c r="B238" t="s">
        <v>488</v>
      </c>
      <c r="C238">
        <v>1.7</v>
      </c>
      <c r="D238" t="s">
        <v>9</v>
      </c>
      <c r="E238" t="s">
        <v>585</v>
      </c>
      <c r="F238" t="s">
        <v>673</v>
      </c>
    </row>
    <row r="239" spans="1:6" x14ac:dyDescent="0.35">
      <c r="A239" s="10" t="s">
        <v>485</v>
      </c>
      <c r="B239" t="s">
        <v>489</v>
      </c>
      <c r="C239">
        <v>1.7</v>
      </c>
      <c r="D239" t="s">
        <v>9</v>
      </c>
      <c r="E239" t="s">
        <v>585</v>
      </c>
      <c r="F239" t="s">
        <v>674</v>
      </c>
    </row>
    <row r="240" spans="1:6" x14ac:dyDescent="0.35">
      <c r="A240" s="10" t="s">
        <v>485</v>
      </c>
      <c r="B240" t="s">
        <v>490</v>
      </c>
      <c r="C240">
        <v>1.7</v>
      </c>
      <c r="D240" t="s">
        <v>9</v>
      </c>
      <c r="E240" t="s">
        <v>585</v>
      </c>
      <c r="F240" t="s">
        <v>675</v>
      </c>
    </row>
    <row r="241" spans="1:6" x14ac:dyDescent="0.35">
      <c r="A241" s="10" t="s">
        <v>485</v>
      </c>
      <c r="B241" t="s">
        <v>491</v>
      </c>
      <c r="C241">
        <v>1.7</v>
      </c>
      <c r="D241" t="s">
        <v>9</v>
      </c>
      <c r="E241" t="s">
        <v>585</v>
      </c>
      <c r="F241" t="s">
        <v>676</v>
      </c>
    </row>
    <row r="242" spans="1:6" x14ac:dyDescent="0.35">
      <c r="A242" s="10" t="s">
        <v>485</v>
      </c>
      <c r="B242" t="s">
        <v>492</v>
      </c>
      <c r="C242">
        <v>1.7</v>
      </c>
      <c r="D242" t="s">
        <v>9</v>
      </c>
      <c r="E242" t="s">
        <v>585</v>
      </c>
      <c r="F242" t="s">
        <v>677</v>
      </c>
    </row>
    <row r="243" spans="1:6" x14ac:dyDescent="0.35">
      <c r="A243" s="10" t="s">
        <v>485</v>
      </c>
      <c r="B243" t="s">
        <v>493</v>
      </c>
      <c r="C243">
        <v>1.7</v>
      </c>
      <c r="D243" t="s">
        <v>9</v>
      </c>
      <c r="E243" t="s">
        <v>585</v>
      </c>
      <c r="F243" t="s">
        <v>678</v>
      </c>
    </row>
    <row r="244" spans="1:6" x14ac:dyDescent="0.35">
      <c r="A244" s="10" t="s">
        <v>58</v>
      </c>
      <c r="B244" t="s">
        <v>141</v>
      </c>
      <c r="C244">
        <v>3.4</v>
      </c>
      <c r="D244" t="s">
        <v>5</v>
      </c>
      <c r="E244" s="36" t="s">
        <v>584</v>
      </c>
      <c r="F244" t="s">
        <v>484</v>
      </c>
    </row>
    <row r="245" spans="1:6" x14ac:dyDescent="0.35">
      <c r="A245" s="10" t="s">
        <v>58</v>
      </c>
      <c r="B245" t="s">
        <v>141</v>
      </c>
      <c r="C245">
        <v>3.4</v>
      </c>
      <c r="D245" t="s">
        <v>5</v>
      </c>
      <c r="E245" s="36" t="s">
        <v>584</v>
      </c>
    </row>
    <row r="246" spans="1:6" x14ac:dyDescent="0.35">
      <c r="A246" s="10" t="s">
        <v>58</v>
      </c>
      <c r="B246" t="s">
        <v>494</v>
      </c>
      <c r="C246">
        <v>3.4</v>
      </c>
      <c r="D246" t="s">
        <v>5</v>
      </c>
      <c r="E246" s="36" t="s">
        <v>584</v>
      </c>
      <c r="F246" t="s">
        <v>484</v>
      </c>
    </row>
    <row r="247" spans="1:6" x14ac:dyDescent="0.35">
      <c r="A247" s="10" t="s">
        <v>72</v>
      </c>
      <c r="B247" t="s">
        <v>73</v>
      </c>
      <c r="C247" s="3">
        <v>1</v>
      </c>
      <c r="D247" t="s">
        <v>74</v>
      </c>
      <c r="E247" s="36" t="s">
        <v>584</v>
      </c>
    </row>
    <row r="248" spans="1:6" x14ac:dyDescent="0.35">
      <c r="A248" s="10" t="s">
        <v>72</v>
      </c>
      <c r="B248" t="s">
        <v>106</v>
      </c>
      <c r="C248" s="3">
        <v>1</v>
      </c>
      <c r="D248" t="s">
        <v>74</v>
      </c>
      <c r="E248" s="36" t="s">
        <v>584</v>
      </c>
    </row>
    <row r="249" spans="1:6" x14ac:dyDescent="0.35">
      <c r="A249" s="10" t="s">
        <v>343</v>
      </c>
      <c r="B249" t="s">
        <v>344</v>
      </c>
      <c r="C249" s="3">
        <v>3.4</v>
      </c>
      <c r="D249" t="s">
        <v>5</v>
      </c>
      <c r="E249" s="36" t="s">
        <v>584</v>
      </c>
    </row>
    <row r="250" spans="1:6" x14ac:dyDescent="0.35">
      <c r="A250" s="10" t="s">
        <v>53</v>
      </c>
      <c r="B250" t="s">
        <v>54</v>
      </c>
      <c r="C250">
        <v>3.4</v>
      </c>
      <c r="D250" t="s">
        <v>5</v>
      </c>
      <c r="E250" s="36" t="s">
        <v>584</v>
      </c>
    </row>
    <row r="251" spans="1:6" x14ac:dyDescent="0.35">
      <c r="A251" s="10" t="s">
        <v>350</v>
      </c>
      <c r="B251" t="s">
        <v>351</v>
      </c>
      <c r="C251">
        <v>3.4</v>
      </c>
      <c r="D251" t="s">
        <v>5</v>
      </c>
      <c r="E251" s="36" t="s">
        <v>584</v>
      </c>
    </row>
    <row r="252" spans="1:6" x14ac:dyDescent="0.35">
      <c r="A252" s="10" t="s">
        <v>240</v>
      </c>
      <c r="C252">
        <v>0.25</v>
      </c>
      <c r="D252" t="s">
        <v>74</v>
      </c>
      <c r="E252" t="s">
        <v>585</v>
      </c>
      <c r="F252" t="s">
        <v>679</v>
      </c>
    </row>
    <row r="253" spans="1:6" x14ac:dyDescent="0.35">
      <c r="A253" s="10" t="s">
        <v>283</v>
      </c>
      <c r="B253" t="s">
        <v>284</v>
      </c>
      <c r="C253">
        <v>4.25</v>
      </c>
      <c r="D253" t="s">
        <v>52</v>
      </c>
      <c r="E253" s="36" t="s">
        <v>584</v>
      </c>
    </row>
    <row r="254" spans="1:6" x14ac:dyDescent="0.35">
      <c r="A254" s="10" t="s">
        <v>130</v>
      </c>
      <c r="B254" t="s">
        <v>131</v>
      </c>
      <c r="C254">
        <v>3.4</v>
      </c>
      <c r="D254" t="s">
        <v>9</v>
      </c>
      <c r="E254" s="36" t="s">
        <v>584</v>
      </c>
    </row>
    <row r="255" spans="1:6" x14ac:dyDescent="0.35">
      <c r="A255" s="10" t="s">
        <v>278</v>
      </c>
      <c r="B255" t="s">
        <v>279</v>
      </c>
      <c r="C255">
        <v>3</v>
      </c>
      <c r="D255" t="s">
        <v>5</v>
      </c>
      <c r="E255" s="36" t="s">
        <v>584</v>
      </c>
    </row>
    <row r="256" spans="1:6" x14ac:dyDescent="0.35">
      <c r="A256" s="10" t="s">
        <v>18</v>
      </c>
      <c r="B256" t="s">
        <v>19</v>
      </c>
      <c r="C256">
        <v>2.5</v>
      </c>
      <c r="D256" t="s">
        <v>9</v>
      </c>
      <c r="E256" s="36" t="s">
        <v>584</v>
      </c>
    </row>
    <row r="257" spans="1:6" x14ac:dyDescent="0.35">
      <c r="A257" s="10" t="s">
        <v>18</v>
      </c>
      <c r="B257" t="s">
        <v>70</v>
      </c>
      <c r="C257">
        <v>4.2</v>
      </c>
      <c r="D257" t="s">
        <v>9</v>
      </c>
      <c r="E257" s="36" t="s">
        <v>584</v>
      </c>
    </row>
    <row r="258" spans="1:6" x14ac:dyDescent="0.35">
      <c r="A258" s="10" t="s">
        <v>384</v>
      </c>
      <c r="B258" t="s">
        <v>417</v>
      </c>
      <c r="C258">
        <v>4</v>
      </c>
      <c r="D258" t="s">
        <v>52</v>
      </c>
      <c r="E258" s="36" t="s">
        <v>584</v>
      </c>
    </row>
    <row r="259" spans="1:6" x14ac:dyDescent="0.35">
      <c r="A259" s="10" t="s">
        <v>337</v>
      </c>
      <c r="B259" t="s">
        <v>338</v>
      </c>
      <c r="C259">
        <v>3.3</v>
      </c>
      <c r="D259" t="s">
        <v>9</v>
      </c>
      <c r="E259" t="s">
        <v>585</v>
      </c>
      <c r="F259" t="s">
        <v>680</v>
      </c>
    </row>
    <row r="260" spans="1:6" x14ac:dyDescent="0.35">
      <c r="A260" s="10" t="s">
        <v>337</v>
      </c>
      <c r="B260" t="s">
        <v>339</v>
      </c>
      <c r="C260">
        <v>3.3</v>
      </c>
      <c r="D260" t="s">
        <v>9</v>
      </c>
      <c r="E260" t="s">
        <v>585</v>
      </c>
      <c r="F260" t="s">
        <v>593</v>
      </c>
    </row>
    <row r="261" spans="1:6" x14ac:dyDescent="0.35">
      <c r="A261" s="10" t="s">
        <v>449</v>
      </c>
      <c r="B261" t="s">
        <v>417</v>
      </c>
      <c r="C261">
        <v>8</v>
      </c>
      <c r="D261" t="s">
        <v>52</v>
      </c>
      <c r="E261" s="36" t="s">
        <v>584</v>
      </c>
    </row>
    <row r="262" spans="1:6" x14ac:dyDescent="0.35">
      <c r="A262" s="10" t="s">
        <v>356</v>
      </c>
      <c r="B262" t="s">
        <v>357</v>
      </c>
      <c r="C262">
        <v>2.5</v>
      </c>
      <c r="D262" t="s">
        <v>5</v>
      </c>
      <c r="E262" s="36" t="s">
        <v>584</v>
      </c>
    </row>
    <row r="263" spans="1:6" x14ac:dyDescent="0.35">
      <c r="A263" s="10" t="s">
        <v>15</v>
      </c>
      <c r="B263" t="s">
        <v>354</v>
      </c>
      <c r="C263">
        <v>3.3</v>
      </c>
      <c r="D263" t="s">
        <v>5</v>
      </c>
      <c r="E263" s="36" t="s">
        <v>584</v>
      </c>
    </row>
    <row r="264" spans="1:6" x14ac:dyDescent="0.35">
      <c r="A264" s="10" t="s">
        <v>15</v>
      </c>
      <c r="B264" t="s">
        <v>355</v>
      </c>
      <c r="C264">
        <v>4.2</v>
      </c>
      <c r="D264" t="s">
        <v>5</v>
      </c>
      <c r="E264" s="36" t="s">
        <v>584</v>
      </c>
    </row>
    <row r="265" spans="1:6" x14ac:dyDescent="0.35">
      <c r="A265" s="10" t="s">
        <v>15</v>
      </c>
      <c r="B265" t="s">
        <v>30</v>
      </c>
      <c r="C265">
        <v>2.5</v>
      </c>
      <c r="D265" t="s">
        <v>5</v>
      </c>
      <c r="E265" s="36" t="s">
        <v>584</v>
      </c>
    </row>
    <row r="266" spans="1:6" x14ac:dyDescent="0.35">
      <c r="A266" s="13" t="s">
        <v>102</v>
      </c>
      <c r="B266" s="7" t="s">
        <v>103</v>
      </c>
      <c r="C266" s="7">
        <v>2.5</v>
      </c>
      <c r="D266" s="7" t="s">
        <v>9</v>
      </c>
      <c r="E266" t="s">
        <v>585</v>
      </c>
      <c r="F266" s="9" t="s">
        <v>681</v>
      </c>
    </row>
    <row r="267" spans="1:6" x14ac:dyDescent="0.35">
      <c r="A267" s="13" t="s">
        <v>102</v>
      </c>
      <c r="B267" s="7" t="s">
        <v>327</v>
      </c>
      <c r="C267" s="7">
        <v>3.3</v>
      </c>
      <c r="D267" s="7" t="s">
        <v>9</v>
      </c>
      <c r="E267" t="s">
        <v>585</v>
      </c>
      <c r="F267" s="9" t="s">
        <v>682</v>
      </c>
    </row>
    <row r="268" spans="1:6" x14ac:dyDescent="0.35">
      <c r="A268" s="13" t="s">
        <v>102</v>
      </c>
      <c r="B268" s="7" t="s">
        <v>328</v>
      </c>
      <c r="C268" s="7">
        <v>3.3</v>
      </c>
      <c r="D268" s="7" t="s">
        <v>9</v>
      </c>
      <c r="E268" s="36" t="s">
        <v>584</v>
      </c>
      <c r="F268" s="9" t="s">
        <v>157</v>
      </c>
    </row>
    <row r="269" spans="1:6" x14ac:dyDescent="0.35">
      <c r="A269" s="13" t="s">
        <v>352</v>
      </c>
      <c r="B269" s="7" t="s">
        <v>353</v>
      </c>
      <c r="C269" s="7">
        <v>3</v>
      </c>
      <c r="D269" s="7" t="s">
        <v>5</v>
      </c>
      <c r="E269" t="s">
        <v>585</v>
      </c>
      <c r="F269" s="9" t="s">
        <v>590</v>
      </c>
    </row>
    <row r="270" spans="1:6" x14ac:dyDescent="0.35">
      <c r="A270" s="13" t="s">
        <v>37</v>
      </c>
      <c r="B270" s="7" t="s">
        <v>38</v>
      </c>
      <c r="C270" s="7">
        <v>3.4</v>
      </c>
      <c r="D270" s="7" t="s">
        <v>5</v>
      </c>
      <c r="E270" s="36" t="s">
        <v>584</v>
      </c>
    </row>
    <row r="271" spans="1:6" x14ac:dyDescent="0.35">
      <c r="A271" s="10" t="s">
        <v>20</v>
      </c>
      <c r="B271" t="s">
        <v>21</v>
      </c>
      <c r="C271">
        <v>2.5</v>
      </c>
      <c r="D271" t="s">
        <v>5</v>
      </c>
      <c r="E271" s="36" t="s">
        <v>584</v>
      </c>
    </row>
    <row r="272" spans="1:6" x14ac:dyDescent="0.35">
      <c r="A272" s="10" t="s">
        <v>20</v>
      </c>
      <c r="B272" t="s">
        <v>21</v>
      </c>
      <c r="C272">
        <v>4</v>
      </c>
      <c r="D272" t="s">
        <v>9</v>
      </c>
      <c r="E272" s="36" t="s">
        <v>584</v>
      </c>
    </row>
    <row r="273" spans="1:6" x14ac:dyDescent="0.35">
      <c r="A273" s="10" t="s">
        <v>440</v>
      </c>
      <c r="B273" t="s">
        <v>441</v>
      </c>
      <c r="C273">
        <v>3.3</v>
      </c>
      <c r="D273" t="s">
        <v>5</v>
      </c>
      <c r="E273" s="36" t="s">
        <v>584</v>
      </c>
    </row>
    <row r="274" spans="1:6" x14ac:dyDescent="0.35">
      <c r="A274" s="10" t="s">
        <v>443</v>
      </c>
      <c r="B274" t="s">
        <v>444</v>
      </c>
      <c r="C274">
        <v>1.7</v>
      </c>
      <c r="D274" t="s">
        <v>52</v>
      </c>
      <c r="E274" s="36" t="s">
        <v>584</v>
      </c>
    </row>
    <row r="275" spans="1:6" x14ac:dyDescent="0.35">
      <c r="A275" s="10" t="s">
        <v>75</v>
      </c>
      <c r="B275" t="s">
        <v>76</v>
      </c>
      <c r="C275">
        <v>3.3</v>
      </c>
      <c r="D275" t="s">
        <v>9</v>
      </c>
      <c r="E275" s="36" t="s">
        <v>584</v>
      </c>
    </row>
    <row r="276" spans="1:6" x14ac:dyDescent="0.35">
      <c r="A276" s="10" t="s">
        <v>480</v>
      </c>
      <c r="B276" t="s">
        <v>417</v>
      </c>
      <c r="C276">
        <v>3.3</v>
      </c>
      <c r="D276" t="s">
        <v>5</v>
      </c>
      <c r="E276" s="36" t="s">
        <v>584</v>
      </c>
    </row>
    <row r="277" spans="1:6" x14ac:dyDescent="0.35">
      <c r="A277" s="10" t="s">
        <v>448</v>
      </c>
      <c r="B277" t="s">
        <v>287</v>
      </c>
      <c r="C277">
        <v>3.3</v>
      </c>
      <c r="D277" t="s">
        <v>5</v>
      </c>
      <c r="E277" s="36" t="s">
        <v>584</v>
      </c>
    </row>
    <row r="278" spans="1:6" x14ac:dyDescent="0.35">
      <c r="A278" s="10" t="s">
        <v>285</v>
      </c>
      <c r="B278" t="s">
        <v>280</v>
      </c>
      <c r="C278">
        <v>1.7</v>
      </c>
      <c r="D278" t="s">
        <v>52</v>
      </c>
      <c r="E278" s="36" t="s">
        <v>584</v>
      </c>
    </row>
    <row r="279" spans="1:6" x14ac:dyDescent="0.35">
      <c r="A279" s="10" t="s">
        <v>553</v>
      </c>
      <c r="C279">
        <v>2.2999999999999998</v>
      </c>
      <c r="D279" t="s">
        <v>52</v>
      </c>
      <c r="E279" s="36" t="s">
        <v>584</v>
      </c>
    </row>
    <row r="280" spans="1:6" x14ac:dyDescent="0.35">
      <c r="A280" s="10" t="s">
        <v>518</v>
      </c>
      <c r="B280" t="s">
        <v>519</v>
      </c>
      <c r="C280">
        <v>1</v>
      </c>
      <c r="D280" t="s">
        <v>5</v>
      </c>
      <c r="E280" s="36" t="s">
        <v>584</v>
      </c>
    </row>
    <row r="281" spans="1:6" x14ac:dyDescent="0.35">
      <c r="A281" s="10" t="s">
        <v>518</v>
      </c>
      <c r="B281" t="s">
        <v>520</v>
      </c>
      <c r="C281">
        <v>1</v>
      </c>
      <c r="D281" t="s">
        <v>5</v>
      </c>
      <c r="E281" s="36" t="s">
        <v>584</v>
      </c>
    </row>
    <row r="282" spans="1:6" x14ac:dyDescent="0.35">
      <c r="A282" s="10" t="s">
        <v>518</v>
      </c>
      <c r="B282" t="s">
        <v>521</v>
      </c>
      <c r="C282">
        <v>1</v>
      </c>
      <c r="D282" t="s">
        <v>5</v>
      </c>
      <c r="E282" s="36" t="s">
        <v>584</v>
      </c>
    </row>
    <row r="283" spans="1:6" x14ac:dyDescent="0.35">
      <c r="A283" s="10" t="s">
        <v>414</v>
      </c>
      <c r="B283" t="s">
        <v>415</v>
      </c>
      <c r="C283">
        <v>3.3</v>
      </c>
      <c r="D283" t="s">
        <v>5</v>
      </c>
      <c r="E283" s="36" t="s">
        <v>584</v>
      </c>
    </row>
    <row r="284" spans="1:6" x14ac:dyDescent="0.35">
      <c r="A284" s="13" t="s">
        <v>105</v>
      </c>
      <c r="B284" s="7" t="s">
        <v>104</v>
      </c>
      <c r="C284" s="7">
        <v>3.3</v>
      </c>
      <c r="D284" s="7" t="s">
        <v>74</v>
      </c>
      <c r="E284" s="36" t="s">
        <v>584</v>
      </c>
    </row>
    <row r="285" spans="1:6" x14ac:dyDescent="0.35">
      <c r="A285" s="13" t="s">
        <v>80</v>
      </c>
      <c r="B285" s="7" t="s">
        <v>81</v>
      </c>
      <c r="C285" s="7">
        <v>3.4</v>
      </c>
      <c r="D285" s="7" t="s">
        <v>9</v>
      </c>
      <c r="E285" s="36" t="s">
        <v>584</v>
      </c>
    </row>
    <row r="286" spans="1:6" x14ac:dyDescent="0.35">
      <c r="A286" s="13" t="s">
        <v>51</v>
      </c>
      <c r="B286" s="7" t="s">
        <v>412</v>
      </c>
      <c r="C286" s="7">
        <v>3.3</v>
      </c>
      <c r="D286" s="7" t="s">
        <v>52</v>
      </c>
      <c r="E286" s="36" t="s">
        <v>584</v>
      </c>
      <c r="F286" t="s">
        <v>535</v>
      </c>
    </row>
    <row r="287" spans="1:6" x14ac:dyDescent="0.35">
      <c r="A287" s="13" t="s">
        <v>87</v>
      </c>
      <c r="B287" s="7" t="s">
        <v>86</v>
      </c>
      <c r="C287" s="7">
        <v>3.4</v>
      </c>
      <c r="D287" s="7" t="s">
        <v>5</v>
      </c>
      <c r="E287" s="36" t="s">
        <v>584</v>
      </c>
    </row>
    <row r="288" spans="1:6" x14ac:dyDescent="0.35">
      <c r="A288" s="13" t="s">
        <v>31</v>
      </c>
      <c r="B288" s="7" t="s">
        <v>32</v>
      </c>
      <c r="C288" s="7">
        <v>3.4</v>
      </c>
      <c r="D288" s="7" t="s">
        <v>5</v>
      </c>
      <c r="E288" s="36" t="s">
        <v>584</v>
      </c>
    </row>
    <row r="289" spans="1:5" x14ac:dyDescent="0.35">
      <c r="A289" s="13" t="s">
        <v>124</v>
      </c>
      <c r="B289" s="7" t="s">
        <v>125</v>
      </c>
      <c r="C289" s="7">
        <v>3.3</v>
      </c>
      <c r="D289" s="7" t="s">
        <v>74</v>
      </c>
      <c r="E289" s="36" t="s">
        <v>584</v>
      </c>
    </row>
    <row r="290" spans="1:5" x14ac:dyDescent="0.35">
      <c r="A290" s="13" t="s">
        <v>581</v>
      </c>
      <c r="B290" s="7" t="s">
        <v>582</v>
      </c>
      <c r="C290" s="7">
        <v>3.3</v>
      </c>
      <c r="D290" s="7" t="s">
        <v>497</v>
      </c>
      <c r="E290" s="36" t="s">
        <v>584</v>
      </c>
    </row>
    <row r="291" spans="1:5" x14ac:dyDescent="0.35">
      <c r="A291" s="13" t="s">
        <v>89</v>
      </c>
      <c r="B291" s="7" t="s">
        <v>413</v>
      </c>
      <c r="C291" s="7">
        <v>3.3</v>
      </c>
      <c r="D291" s="7" t="s">
        <v>5</v>
      </c>
      <c r="E291" s="36" t="s">
        <v>584</v>
      </c>
    </row>
    <row r="292" spans="1:5" x14ac:dyDescent="0.35">
      <c r="A292" s="13" t="s">
        <v>89</v>
      </c>
      <c r="B292" s="7" t="s">
        <v>90</v>
      </c>
      <c r="C292" s="7">
        <v>3.4</v>
      </c>
      <c r="D292" s="7" t="s">
        <v>5</v>
      </c>
      <c r="E292" s="36" t="s">
        <v>584</v>
      </c>
    </row>
    <row r="293" spans="1:5" x14ac:dyDescent="0.35">
      <c r="A293" s="13" t="s">
        <v>286</v>
      </c>
      <c r="B293" s="7" t="s">
        <v>288</v>
      </c>
      <c r="C293" s="7">
        <v>0.5</v>
      </c>
      <c r="D293" s="7" t="s">
        <v>5</v>
      </c>
      <c r="E293" s="36" t="s">
        <v>584</v>
      </c>
    </row>
    <row r="294" spans="1:5" x14ac:dyDescent="0.35">
      <c r="A294" s="10" t="s">
        <v>95</v>
      </c>
      <c r="B294" t="s">
        <v>96</v>
      </c>
      <c r="C294">
        <v>3.3</v>
      </c>
      <c r="D294" t="s">
        <v>9</v>
      </c>
      <c r="E294" s="36" t="s">
        <v>584</v>
      </c>
    </row>
    <row r="295" spans="1:5" x14ac:dyDescent="0.35">
      <c r="A295" s="10" t="s">
        <v>281</v>
      </c>
      <c r="B295" t="s">
        <v>282</v>
      </c>
      <c r="C295">
        <v>3.3</v>
      </c>
      <c r="D295" t="s">
        <v>9</v>
      </c>
      <c r="E295" s="36" t="s">
        <v>584</v>
      </c>
    </row>
    <row r="296" spans="1:5" x14ac:dyDescent="0.35">
      <c r="A296" s="10" t="s">
        <v>46</v>
      </c>
      <c r="B296" t="s">
        <v>252</v>
      </c>
      <c r="C296">
        <v>3.3</v>
      </c>
      <c r="D296" t="s">
        <v>5</v>
      </c>
      <c r="E296" s="36" t="s">
        <v>584</v>
      </c>
    </row>
    <row r="297" spans="1:5" x14ac:dyDescent="0.35">
      <c r="A297" s="10" t="s">
        <v>46</v>
      </c>
      <c r="B297" t="s">
        <v>47</v>
      </c>
      <c r="C297">
        <v>3.3</v>
      </c>
      <c r="D297" t="s">
        <v>5</v>
      </c>
      <c r="E297" s="36" t="s">
        <v>584</v>
      </c>
    </row>
    <row r="298" spans="1:5" x14ac:dyDescent="0.35">
      <c r="A298" s="10" t="s">
        <v>46</v>
      </c>
      <c r="B298" t="s">
        <v>479</v>
      </c>
      <c r="C298">
        <v>3.3</v>
      </c>
      <c r="D298" t="s">
        <v>5</v>
      </c>
      <c r="E298" s="36" t="s">
        <v>584</v>
      </c>
    </row>
    <row r="299" spans="1:5" x14ac:dyDescent="0.35">
      <c r="A299" s="10" t="s">
        <v>360</v>
      </c>
      <c r="B299" t="s">
        <v>361</v>
      </c>
      <c r="C299">
        <v>3.3</v>
      </c>
      <c r="D299" t="s">
        <v>5</v>
      </c>
      <c r="E299" s="36" t="s">
        <v>584</v>
      </c>
    </row>
    <row r="300" spans="1:5" x14ac:dyDescent="0.35">
      <c r="A300" s="10" t="s">
        <v>55</v>
      </c>
      <c r="B300" t="s">
        <v>56</v>
      </c>
      <c r="C300">
        <v>4.2</v>
      </c>
      <c r="D300" t="s">
        <v>5</v>
      </c>
      <c r="E300" s="36" t="s">
        <v>584</v>
      </c>
    </row>
    <row r="304" spans="1:5" x14ac:dyDescent="0.35">
      <c r="A304" s="16"/>
      <c r="B304" s="16"/>
    </row>
    <row r="305" spans="1:6" x14ac:dyDescent="0.35">
      <c r="A305" s="38"/>
      <c r="B305" s="22"/>
    </row>
    <row r="306" spans="1:6" x14ac:dyDescent="0.35">
      <c r="A306" s="38"/>
      <c r="B306" s="22"/>
    </row>
    <row r="307" spans="1:6" x14ac:dyDescent="0.35">
      <c r="A307" s="38"/>
      <c r="B307" s="22"/>
    </row>
    <row r="308" spans="1:6" x14ac:dyDescent="0.35">
      <c r="A308" s="38"/>
      <c r="B308" s="22"/>
    </row>
    <row r="309" spans="1:6" x14ac:dyDescent="0.35">
      <c r="A309" s="38"/>
      <c r="B309" s="22"/>
    </row>
    <row r="310" spans="1:6" x14ac:dyDescent="0.35">
      <c r="A310" s="38"/>
      <c r="B310" s="22"/>
    </row>
    <row r="311" spans="1:6" x14ac:dyDescent="0.35">
      <c r="A311" s="38"/>
      <c r="B311" s="22"/>
    </row>
    <row r="312" spans="1:6" x14ac:dyDescent="0.35">
      <c r="A312" s="38"/>
      <c r="B312" s="22"/>
    </row>
    <row r="313" spans="1:6" x14ac:dyDescent="0.35">
      <c r="A313" s="38"/>
      <c r="B313" s="22"/>
    </row>
    <row r="314" spans="1:6" x14ac:dyDescent="0.35">
      <c r="A314" s="38"/>
      <c r="B314" s="22"/>
    </row>
    <row r="315" spans="1:6" x14ac:dyDescent="0.35">
      <c r="A315" s="38"/>
      <c r="B315" s="22"/>
    </row>
    <row r="316" spans="1:6" x14ac:dyDescent="0.35">
      <c r="A316" s="38"/>
      <c r="B316" s="22"/>
    </row>
    <row r="319" spans="1:6" x14ac:dyDescent="0.35">
      <c r="F319" s="9"/>
    </row>
  </sheetData>
  <sortState ref="A315:D329">
    <sortCondition ref="A315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21457-7F42-4F10-AEC3-697A7DB850C5}">
  <dimension ref="A1:I83"/>
  <sheetViews>
    <sheetView topLeftCell="A37" workbookViewId="0">
      <selection activeCell="A53" sqref="A53"/>
    </sheetView>
  </sheetViews>
  <sheetFormatPr defaultRowHeight="14.5" x14ac:dyDescent="0.35"/>
  <cols>
    <col min="1" max="1" width="36.7265625" bestFit="1" customWidth="1"/>
    <col min="2" max="2" width="13.7265625" bestFit="1" customWidth="1"/>
    <col min="3" max="3" width="13.26953125" bestFit="1" customWidth="1"/>
    <col min="5" max="5" width="38.7265625" bestFit="1" customWidth="1"/>
    <col min="6" max="6" width="9.6328125" bestFit="1" customWidth="1"/>
    <col min="8" max="8" width="6.36328125" bestFit="1" customWidth="1"/>
  </cols>
  <sheetData>
    <row r="1" spans="1:9" x14ac:dyDescent="0.35">
      <c r="A1" s="18" t="s">
        <v>402</v>
      </c>
      <c r="B1" s="18"/>
      <c r="E1" s="18" t="s">
        <v>545</v>
      </c>
      <c r="F1" s="18"/>
    </row>
    <row r="3" spans="1:9" x14ac:dyDescent="0.35">
      <c r="B3" s="18" t="s">
        <v>401</v>
      </c>
      <c r="C3" s="18"/>
      <c r="F3" s="18" t="s">
        <v>502</v>
      </c>
      <c r="G3" s="18" t="s">
        <v>503</v>
      </c>
      <c r="H3" s="18" t="s">
        <v>515</v>
      </c>
      <c r="I3" s="18" t="s">
        <v>397</v>
      </c>
    </row>
    <row r="4" spans="1:9" x14ac:dyDescent="0.35">
      <c r="A4" s="16" t="s">
        <v>400</v>
      </c>
      <c r="B4" s="16" t="s">
        <v>399</v>
      </c>
      <c r="C4" s="16" t="s">
        <v>398</v>
      </c>
      <c r="D4" s="16" t="s">
        <v>397</v>
      </c>
      <c r="E4" s="16" t="s">
        <v>400</v>
      </c>
      <c r="F4" s="16"/>
      <c r="G4" s="16"/>
      <c r="H4" s="16"/>
      <c r="I4" s="16"/>
    </row>
    <row r="5" spans="1:9" x14ac:dyDescent="0.35">
      <c r="B5" s="17"/>
      <c r="C5" s="17"/>
      <c r="E5" s="9" t="s">
        <v>507</v>
      </c>
      <c r="F5" s="24"/>
      <c r="G5" s="24"/>
      <c r="H5" s="24"/>
    </row>
    <row r="6" spans="1:9" x14ac:dyDescent="0.35">
      <c r="A6" t="s">
        <v>396</v>
      </c>
      <c r="B6" s="17" t="s">
        <v>395</v>
      </c>
      <c r="C6" s="17" t="s">
        <v>394</v>
      </c>
      <c r="E6" s="9" t="s">
        <v>512</v>
      </c>
      <c r="F6" s="24" t="s">
        <v>539</v>
      </c>
      <c r="G6" s="32">
        <v>207</v>
      </c>
      <c r="H6" s="24" t="s">
        <v>540</v>
      </c>
    </row>
    <row r="7" spans="1:9" x14ac:dyDescent="0.35">
      <c r="A7" t="s">
        <v>393</v>
      </c>
      <c r="B7">
        <v>116</v>
      </c>
      <c r="C7">
        <v>112</v>
      </c>
      <c r="E7" s="9" t="s">
        <v>505</v>
      </c>
      <c r="F7" s="9"/>
      <c r="G7" s="31"/>
      <c r="H7" s="9"/>
    </row>
    <row r="8" spans="1:9" x14ac:dyDescent="0.35">
      <c r="A8" t="s">
        <v>392</v>
      </c>
      <c r="B8">
        <v>36</v>
      </c>
      <c r="C8">
        <v>35</v>
      </c>
      <c r="E8" s="9" t="s">
        <v>506</v>
      </c>
      <c r="F8" s="9"/>
      <c r="G8" s="31"/>
      <c r="H8" s="9"/>
    </row>
    <row r="9" spans="1:9" x14ac:dyDescent="0.35">
      <c r="A9" t="s">
        <v>391</v>
      </c>
      <c r="B9">
        <v>299</v>
      </c>
      <c r="C9">
        <v>286</v>
      </c>
      <c r="E9" s="9" t="s">
        <v>510</v>
      </c>
      <c r="F9" s="9" t="s">
        <v>208</v>
      </c>
      <c r="G9" s="32">
        <v>135</v>
      </c>
      <c r="H9" s="9" t="s">
        <v>517</v>
      </c>
    </row>
    <row r="10" spans="1:9" x14ac:dyDescent="0.35">
      <c r="A10" t="s">
        <v>390</v>
      </c>
      <c r="B10">
        <v>47</v>
      </c>
      <c r="C10">
        <v>45</v>
      </c>
      <c r="E10" s="9" t="s">
        <v>511</v>
      </c>
      <c r="F10" s="9"/>
      <c r="G10" s="32"/>
      <c r="H10" s="9"/>
    </row>
    <row r="11" spans="1:9" x14ac:dyDescent="0.35">
      <c r="A11" t="s">
        <v>389</v>
      </c>
      <c r="B11" t="s">
        <v>388</v>
      </c>
      <c r="C11" s="10">
        <v>104</v>
      </c>
      <c r="E11" s="9" t="s">
        <v>504</v>
      </c>
      <c r="F11" s="24" t="s">
        <v>208</v>
      </c>
      <c r="G11" s="32">
        <v>235</v>
      </c>
      <c r="H11" s="24" t="s">
        <v>516</v>
      </c>
    </row>
    <row r="12" spans="1:9" x14ac:dyDescent="0.35">
      <c r="A12" t="s">
        <v>387</v>
      </c>
      <c r="B12" s="10">
        <v>72</v>
      </c>
      <c r="C12">
        <v>117</v>
      </c>
      <c r="E12" s="9" t="s">
        <v>513</v>
      </c>
      <c r="F12" s="24" t="s">
        <v>208</v>
      </c>
      <c r="G12" s="32">
        <v>235</v>
      </c>
      <c r="H12" s="24" t="s">
        <v>516</v>
      </c>
    </row>
    <row r="13" spans="1:9" x14ac:dyDescent="0.35">
      <c r="A13" t="s">
        <v>386</v>
      </c>
      <c r="B13">
        <v>59</v>
      </c>
      <c r="C13">
        <v>57</v>
      </c>
      <c r="E13" s="9" t="s">
        <v>508</v>
      </c>
      <c r="F13" s="24"/>
      <c r="G13" s="31"/>
      <c r="H13" s="24"/>
    </row>
    <row r="14" spans="1:9" x14ac:dyDescent="0.35">
      <c r="A14" t="s">
        <v>383</v>
      </c>
      <c r="B14" s="17">
        <v>56</v>
      </c>
      <c r="C14" s="17" t="s">
        <v>382</v>
      </c>
      <c r="E14" s="9" t="s">
        <v>509</v>
      </c>
      <c r="F14" s="9"/>
      <c r="G14" s="31"/>
      <c r="H14" s="9"/>
    </row>
    <row r="15" spans="1:9" x14ac:dyDescent="0.35">
      <c r="A15" t="s">
        <v>381</v>
      </c>
      <c r="B15" s="17">
        <v>45</v>
      </c>
      <c r="C15" s="17" t="s">
        <v>380</v>
      </c>
      <c r="E15" s="9" t="s">
        <v>514</v>
      </c>
      <c r="F15" s="9" t="s">
        <v>208</v>
      </c>
      <c r="G15" s="32">
        <v>240</v>
      </c>
      <c r="H15" s="9" t="s">
        <v>517</v>
      </c>
    </row>
    <row r="16" spans="1:9" x14ac:dyDescent="0.35">
      <c r="A16" t="s">
        <v>379</v>
      </c>
      <c r="B16" s="17">
        <v>35</v>
      </c>
      <c r="C16" s="17" t="s">
        <v>378</v>
      </c>
      <c r="E16" s="9" t="s">
        <v>541</v>
      </c>
      <c r="F16" s="24" t="s">
        <v>542</v>
      </c>
      <c r="G16" s="33">
        <v>115</v>
      </c>
      <c r="H16" s="24" t="s">
        <v>516</v>
      </c>
    </row>
    <row r="17" spans="1:8" x14ac:dyDescent="0.35">
      <c r="A17" t="s">
        <v>377</v>
      </c>
      <c r="C17">
        <v>96</v>
      </c>
      <c r="E17" s="9" t="s">
        <v>538</v>
      </c>
      <c r="F17" t="s">
        <v>208</v>
      </c>
      <c r="G17" s="33">
        <v>235</v>
      </c>
      <c r="H17" t="s">
        <v>516</v>
      </c>
    </row>
    <row r="18" spans="1:8" x14ac:dyDescent="0.35">
      <c r="A18" t="s">
        <v>376</v>
      </c>
      <c r="E18" s="9" t="s">
        <v>543</v>
      </c>
      <c r="F18" t="s">
        <v>544</v>
      </c>
      <c r="G18" s="11">
        <v>150</v>
      </c>
      <c r="H18" t="s">
        <v>516</v>
      </c>
    </row>
    <row r="19" spans="1:8" x14ac:dyDescent="0.35">
      <c r="A19" t="s">
        <v>375</v>
      </c>
      <c r="E19" s="9"/>
      <c r="F19" s="9"/>
      <c r="G19" s="9"/>
      <c r="H19" s="9"/>
    </row>
    <row r="20" spans="1:8" x14ac:dyDescent="0.35">
      <c r="A20" t="s">
        <v>374</v>
      </c>
      <c r="C20">
        <v>77</v>
      </c>
      <c r="E20" s="9"/>
      <c r="F20" s="9"/>
      <c r="G20" s="9"/>
      <c r="H20" s="9"/>
    </row>
    <row r="21" spans="1:8" x14ac:dyDescent="0.35">
      <c r="A21" t="s">
        <v>373</v>
      </c>
      <c r="C21">
        <v>95</v>
      </c>
      <c r="E21" s="9"/>
      <c r="F21" s="9"/>
      <c r="G21" s="9"/>
      <c r="H21" s="9"/>
    </row>
    <row r="22" spans="1:8" x14ac:dyDescent="0.35">
      <c r="A22" t="s">
        <v>372</v>
      </c>
      <c r="E22" s="9"/>
      <c r="F22" s="9"/>
      <c r="G22" s="9"/>
      <c r="H22" s="9"/>
    </row>
    <row r="23" spans="1:8" x14ac:dyDescent="0.35">
      <c r="A23" t="s">
        <v>371</v>
      </c>
      <c r="B23">
        <v>133</v>
      </c>
      <c r="C23" s="10" t="s">
        <v>465</v>
      </c>
      <c r="E23" s="9"/>
      <c r="F23" s="9"/>
      <c r="G23" s="9"/>
      <c r="H23" s="9"/>
    </row>
    <row r="24" spans="1:8" x14ac:dyDescent="0.35">
      <c r="A24" t="s">
        <v>370</v>
      </c>
      <c r="B24">
        <v>119</v>
      </c>
      <c r="C24">
        <v>125</v>
      </c>
      <c r="E24" s="9"/>
      <c r="F24" s="9"/>
      <c r="G24" s="9"/>
      <c r="H24" s="9"/>
    </row>
    <row r="25" spans="1:8" x14ac:dyDescent="0.35">
      <c r="A25" t="s">
        <v>369</v>
      </c>
      <c r="C25">
        <v>116</v>
      </c>
      <c r="E25" s="9"/>
      <c r="F25" s="9"/>
      <c r="G25" s="9"/>
      <c r="H25" s="9"/>
    </row>
    <row r="26" spans="1:8" x14ac:dyDescent="0.35">
      <c r="A26" t="s">
        <v>368</v>
      </c>
      <c r="B26">
        <v>127</v>
      </c>
      <c r="E26" s="9"/>
      <c r="F26" s="9"/>
      <c r="G26" s="9"/>
      <c r="H26" s="9"/>
    </row>
    <row r="27" spans="1:8" x14ac:dyDescent="0.35">
      <c r="A27" t="s">
        <v>367</v>
      </c>
      <c r="C27">
        <v>87</v>
      </c>
      <c r="E27" s="9"/>
      <c r="F27" s="9"/>
      <c r="G27" s="9"/>
      <c r="H27" s="9"/>
    </row>
    <row r="28" spans="1:8" x14ac:dyDescent="0.35">
      <c r="A28" t="s">
        <v>366</v>
      </c>
      <c r="B28">
        <v>51</v>
      </c>
      <c r="E28" s="9"/>
      <c r="F28" s="9"/>
      <c r="G28" s="9"/>
      <c r="H28" s="9"/>
    </row>
    <row r="29" spans="1:8" x14ac:dyDescent="0.35">
      <c r="A29" t="s">
        <v>364</v>
      </c>
      <c r="E29" s="9"/>
      <c r="F29" s="9"/>
      <c r="G29" s="9"/>
      <c r="H29" s="9"/>
    </row>
    <row r="30" spans="1:8" x14ac:dyDescent="0.35">
      <c r="A30" t="s">
        <v>466</v>
      </c>
      <c r="B30" s="10">
        <v>65</v>
      </c>
      <c r="C30" s="9">
        <v>70</v>
      </c>
      <c r="E30" s="9"/>
      <c r="F30" s="9"/>
      <c r="G30" s="9"/>
      <c r="H30" s="9"/>
    </row>
    <row r="31" spans="1:8" x14ac:dyDescent="0.35">
      <c r="A31" t="s">
        <v>470</v>
      </c>
      <c r="B31" t="s">
        <v>469</v>
      </c>
      <c r="C31">
        <v>87</v>
      </c>
      <c r="E31" s="9"/>
      <c r="F31" s="9"/>
      <c r="G31" s="9"/>
      <c r="H31" s="9"/>
    </row>
    <row r="32" spans="1:8" x14ac:dyDescent="0.35">
      <c r="A32" t="s">
        <v>467</v>
      </c>
      <c r="B32">
        <v>104</v>
      </c>
      <c r="E32" s="9"/>
      <c r="F32" s="9"/>
      <c r="G32" s="9"/>
      <c r="H32" s="9"/>
    </row>
    <row r="33" spans="1:8" x14ac:dyDescent="0.35">
      <c r="A33" t="s">
        <v>468</v>
      </c>
      <c r="B33" s="10">
        <v>61</v>
      </c>
      <c r="E33" s="9"/>
      <c r="F33" s="9"/>
      <c r="G33" s="9"/>
      <c r="H33" s="9"/>
    </row>
    <row r="34" spans="1:8" x14ac:dyDescent="0.35">
      <c r="E34" s="9"/>
      <c r="F34" s="9"/>
      <c r="G34" s="9"/>
      <c r="H34" s="9"/>
    </row>
    <row r="35" spans="1:8" x14ac:dyDescent="0.35">
      <c r="A35" s="16" t="s">
        <v>111</v>
      </c>
      <c r="E35" s="9"/>
      <c r="F35" s="9"/>
      <c r="G35" s="9"/>
      <c r="H35" s="9"/>
    </row>
    <row r="38" spans="1:8" x14ac:dyDescent="0.35">
      <c r="A38" s="16" t="s">
        <v>363</v>
      </c>
    </row>
    <row r="42" spans="1:8" x14ac:dyDescent="0.35">
      <c r="A42" s="16" t="s">
        <v>362</v>
      </c>
    </row>
    <row r="46" spans="1:8" x14ac:dyDescent="0.35">
      <c r="A46" s="2" t="s">
        <v>126</v>
      </c>
      <c r="C46" s="2" t="s">
        <v>167</v>
      </c>
      <c r="D46" s="2" t="s">
        <v>168</v>
      </c>
    </row>
    <row r="47" spans="1:8" x14ac:dyDescent="0.35">
      <c r="A47" t="s">
        <v>127</v>
      </c>
      <c r="B47" t="s">
        <v>129</v>
      </c>
      <c r="C47" s="12">
        <v>160</v>
      </c>
      <c r="D47" s="9" t="s">
        <v>205</v>
      </c>
    </row>
    <row r="48" spans="1:8" x14ac:dyDescent="0.35">
      <c r="A48" t="s">
        <v>160</v>
      </c>
      <c r="B48" t="s">
        <v>161</v>
      </c>
    </row>
    <row r="49" spans="1:4" x14ac:dyDescent="0.35">
      <c r="A49" t="s">
        <v>160</v>
      </c>
      <c r="B49" t="s">
        <v>162</v>
      </c>
    </row>
    <row r="50" spans="1:4" x14ac:dyDescent="0.35">
      <c r="A50" t="s">
        <v>160</v>
      </c>
      <c r="B50" t="s">
        <v>163</v>
      </c>
    </row>
    <row r="51" spans="1:4" x14ac:dyDescent="0.35">
      <c r="A51" t="s">
        <v>160</v>
      </c>
      <c r="B51" t="s">
        <v>199</v>
      </c>
      <c r="C51" s="11">
        <v>230</v>
      </c>
      <c r="D51" t="s">
        <v>203</v>
      </c>
    </row>
    <row r="52" spans="1:4" x14ac:dyDescent="0.35">
      <c r="A52" t="s">
        <v>160</v>
      </c>
      <c r="B52" t="s">
        <v>200</v>
      </c>
    </row>
    <row r="53" spans="1:4" x14ac:dyDescent="0.35">
      <c r="A53" t="s">
        <v>158</v>
      </c>
      <c r="B53" t="s">
        <v>159</v>
      </c>
      <c r="C53" s="11">
        <v>200</v>
      </c>
      <c r="D53" t="s">
        <v>203</v>
      </c>
    </row>
    <row r="54" spans="1:4" x14ac:dyDescent="0.35">
      <c r="A54" t="s">
        <v>132</v>
      </c>
      <c r="B54" t="s">
        <v>133</v>
      </c>
      <c r="C54" s="12">
        <v>95</v>
      </c>
      <c r="D54" s="9" t="s">
        <v>208</v>
      </c>
    </row>
    <row r="55" spans="1:4" x14ac:dyDescent="0.35">
      <c r="A55" t="s">
        <v>165</v>
      </c>
      <c r="B55" t="s">
        <v>166</v>
      </c>
      <c r="C55" s="11">
        <v>297</v>
      </c>
      <c r="D55" t="s">
        <v>203</v>
      </c>
    </row>
    <row r="56" spans="1:4" x14ac:dyDescent="0.35">
      <c r="A56" t="s">
        <v>136</v>
      </c>
      <c r="B56" t="s">
        <v>140</v>
      </c>
      <c r="C56" s="11">
        <v>180</v>
      </c>
      <c r="D56" t="s">
        <v>202</v>
      </c>
    </row>
    <row r="57" spans="1:4" x14ac:dyDescent="0.35">
      <c r="A57" t="s">
        <v>138</v>
      </c>
      <c r="B57" t="s">
        <v>139</v>
      </c>
      <c r="C57" s="11">
        <v>140</v>
      </c>
      <c r="D57" t="s">
        <v>207</v>
      </c>
    </row>
    <row r="58" spans="1:4" x14ac:dyDescent="0.35">
      <c r="A58" t="s">
        <v>191</v>
      </c>
      <c r="B58" t="s">
        <v>192</v>
      </c>
      <c r="C58" s="11">
        <v>290</v>
      </c>
      <c r="D58" t="s">
        <v>201</v>
      </c>
    </row>
    <row r="60" spans="1:4" x14ac:dyDescent="0.35">
      <c r="A60" s="18" t="s">
        <v>213</v>
      </c>
    </row>
    <row r="61" spans="1:4" x14ac:dyDescent="0.35">
      <c r="A61" s="18" t="s">
        <v>169</v>
      </c>
    </row>
    <row r="62" spans="1:4" x14ac:dyDescent="0.35">
      <c r="A62" t="s">
        <v>176</v>
      </c>
      <c r="B62" t="s">
        <v>177</v>
      </c>
      <c r="D62" t="s">
        <v>243</v>
      </c>
    </row>
    <row r="63" spans="1:4" x14ac:dyDescent="0.35">
      <c r="A63" t="s">
        <v>197</v>
      </c>
      <c r="B63" t="s">
        <v>198</v>
      </c>
    </row>
    <row r="64" spans="1:4" x14ac:dyDescent="0.35">
      <c r="A64" t="s">
        <v>178</v>
      </c>
      <c r="B64" t="s">
        <v>179</v>
      </c>
    </row>
    <row r="65" spans="1:5" x14ac:dyDescent="0.35">
      <c r="A65" t="s">
        <v>172</v>
      </c>
      <c r="B65" t="s">
        <v>173</v>
      </c>
    </row>
    <row r="66" spans="1:5" x14ac:dyDescent="0.35">
      <c r="A66" s="9" t="s">
        <v>184</v>
      </c>
      <c r="B66" s="9" t="s">
        <v>185</v>
      </c>
      <c r="C66" s="12">
        <v>95</v>
      </c>
      <c r="D66" s="9" t="s">
        <v>206</v>
      </c>
    </row>
    <row r="67" spans="1:5" x14ac:dyDescent="0.35">
      <c r="A67" t="s">
        <v>182</v>
      </c>
      <c r="B67" t="s">
        <v>183</v>
      </c>
    </row>
    <row r="68" spans="1:5" x14ac:dyDescent="0.35">
      <c r="A68" t="s">
        <v>174</v>
      </c>
      <c r="B68" t="s">
        <v>175</v>
      </c>
    </row>
    <row r="69" spans="1:5" x14ac:dyDescent="0.35">
      <c r="A69" t="s">
        <v>189</v>
      </c>
      <c r="B69" t="s">
        <v>190</v>
      </c>
    </row>
    <row r="70" spans="1:5" x14ac:dyDescent="0.35">
      <c r="A70" t="s">
        <v>187</v>
      </c>
      <c r="B70" t="s">
        <v>188</v>
      </c>
    </row>
    <row r="71" spans="1:5" x14ac:dyDescent="0.35">
      <c r="A71" t="s">
        <v>170</v>
      </c>
      <c r="B71" t="s">
        <v>171</v>
      </c>
      <c r="C71" s="11">
        <v>84</v>
      </c>
      <c r="D71" t="s">
        <v>204</v>
      </c>
    </row>
    <row r="72" spans="1:5" x14ac:dyDescent="0.35">
      <c r="A72" t="s">
        <v>193</v>
      </c>
      <c r="B72" t="s">
        <v>194</v>
      </c>
    </row>
    <row r="73" spans="1:5" x14ac:dyDescent="0.35">
      <c r="A73" t="s">
        <v>195</v>
      </c>
      <c r="B73" t="s">
        <v>196</v>
      </c>
    </row>
    <row r="74" spans="1:5" x14ac:dyDescent="0.35">
      <c r="A74" t="s">
        <v>209</v>
      </c>
      <c r="B74" t="s">
        <v>210</v>
      </c>
      <c r="C74" s="11">
        <v>240</v>
      </c>
      <c r="D74" t="s">
        <v>211</v>
      </c>
    </row>
    <row r="75" spans="1:5" x14ac:dyDescent="0.35">
      <c r="A75" t="s">
        <v>180</v>
      </c>
      <c r="B75" t="s">
        <v>181</v>
      </c>
      <c r="C75" s="11">
        <v>80</v>
      </c>
      <c r="D75" t="s">
        <v>208</v>
      </c>
    </row>
    <row r="76" spans="1:5" x14ac:dyDescent="0.35">
      <c r="A76" t="s">
        <v>95</v>
      </c>
      <c r="B76" t="s">
        <v>186</v>
      </c>
      <c r="C76" s="11">
        <v>237</v>
      </c>
      <c r="D76" t="s">
        <v>203</v>
      </c>
    </row>
    <row r="77" spans="1:5" x14ac:dyDescent="0.35">
      <c r="A77" s="9" t="s">
        <v>214</v>
      </c>
      <c r="B77" s="9" t="s">
        <v>215</v>
      </c>
      <c r="C77" s="9"/>
      <c r="D77" s="9" t="s">
        <v>216</v>
      </c>
      <c r="E77" s="9"/>
    </row>
    <row r="78" spans="1:5" x14ac:dyDescent="0.35">
      <c r="A78" s="9" t="s">
        <v>110</v>
      </c>
      <c r="B78" s="9" t="s">
        <v>217</v>
      </c>
    </row>
    <row r="79" spans="1:5" x14ac:dyDescent="0.35">
      <c r="A79" s="9" t="s">
        <v>218</v>
      </c>
      <c r="B79" s="9" t="s">
        <v>219</v>
      </c>
    </row>
    <row r="80" spans="1:5" x14ac:dyDescent="0.35">
      <c r="A80" s="9" t="s">
        <v>220</v>
      </c>
      <c r="B80" s="9" t="s">
        <v>221</v>
      </c>
    </row>
    <row r="81" spans="1:2" x14ac:dyDescent="0.35">
      <c r="A81" s="9" t="s">
        <v>222</v>
      </c>
      <c r="B81" s="9" t="s">
        <v>223</v>
      </c>
    </row>
    <row r="82" spans="1:2" x14ac:dyDescent="0.35">
      <c r="A82" s="9" t="s">
        <v>244</v>
      </c>
      <c r="B82" s="9" t="s">
        <v>245</v>
      </c>
    </row>
    <row r="83" spans="1:2" x14ac:dyDescent="0.35">
      <c r="A83" s="9" t="s">
        <v>246</v>
      </c>
      <c r="B83" s="9" t="s">
        <v>247</v>
      </c>
    </row>
  </sheetData>
  <sortState ref="A3:I33">
    <sortCondition ref="E5"/>
  </sortState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86DC7-BC36-401A-843C-80576971B12E}">
  <dimension ref="A1:O130"/>
  <sheetViews>
    <sheetView workbookViewId="0">
      <selection activeCell="A12" sqref="A12"/>
    </sheetView>
  </sheetViews>
  <sheetFormatPr defaultRowHeight="14.5" x14ac:dyDescent="0.35"/>
  <cols>
    <col min="1" max="1" width="10.453125" bestFit="1" customWidth="1"/>
    <col min="2" max="2" width="12.453125" customWidth="1"/>
    <col min="3" max="3" width="15.08984375" bestFit="1" customWidth="1"/>
    <col min="5" max="5" width="12.08984375" customWidth="1"/>
    <col min="6" max="6" width="10.453125" customWidth="1"/>
    <col min="7" max="7" width="13.453125" customWidth="1"/>
    <col min="9" max="9" width="10.453125" bestFit="1" customWidth="1"/>
    <col min="13" max="13" width="10.453125" bestFit="1" customWidth="1"/>
  </cols>
  <sheetData>
    <row r="1" spans="1:15" x14ac:dyDescent="0.35">
      <c r="A1" s="18" t="s">
        <v>481</v>
      </c>
      <c r="B1" s="18"/>
      <c r="C1" s="18"/>
    </row>
    <row r="2" spans="1:15" x14ac:dyDescent="0.35">
      <c r="A2" s="16">
        <v>2026</v>
      </c>
      <c r="B2" s="16" t="s">
        <v>472</v>
      </c>
      <c r="C2" s="16" t="s">
        <v>471</v>
      </c>
      <c r="E2" s="16">
        <v>2025</v>
      </c>
      <c r="F2" s="16" t="s">
        <v>472</v>
      </c>
      <c r="G2" s="16" t="s">
        <v>471</v>
      </c>
      <c r="I2" s="16">
        <v>2024</v>
      </c>
      <c r="J2" s="16" t="s">
        <v>472</v>
      </c>
      <c r="K2" s="16" t="s">
        <v>471</v>
      </c>
      <c r="M2" s="16">
        <v>2023</v>
      </c>
      <c r="N2" s="16" t="s">
        <v>472</v>
      </c>
      <c r="O2" s="16" t="s">
        <v>471</v>
      </c>
    </row>
    <row r="3" spans="1:15" x14ac:dyDescent="0.35">
      <c r="A3" s="19">
        <v>46061</v>
      </c>
      <c r="B3">
        <v>178</v>
      </c>
      <c r="C3" t="s">
        <v>398</v>
      </c>
      <c r="E3" s="19">
        <v>46017</v>
      </c>
      <c r="F3">
        <v>435</v>
      </c>
      <c r="G3" t="s">
        <v>530</v>
      </c>
      <c r="I3" s="19">
        <v>45638</v>
      </c>
      <c r="J3">
        <v>519</v>
      </c>
      <c r="K3" t="s">
        <v>398</v>
      </c>
      <c r="M3" s="19">
        <v>45268</v>
      </c>
      <c r="N3">
        <v>135</v>
      </c>
      <c r="O3" t="s">
        <v>399</v>
      </c>
    </row>
    <row r="4" spans="1:15" x14ac:dyDescent="0.35">
      <c r="A4" s="19">
        <v>46060</v>
      </c>
      <c r="B4">
        <v>15</v>
      </c>
      <c r="C4" t="s">
        <v>554</v>
      </c>
      <c r="E4" s="19">
        <v>46017</v>
      </c>
      <c r="F4">
        <v>809</v>
      </c>
      <c r="G4" t="s">
        <v>398</v>
      </c>
      <c r="I4" s="19">
        <v>45569</v>
      </c>
      <c r="J4">
        <v>105</v>
      </c>
      <c r="K4" t="s">
        <v>398</v>
      </c>
      <c r="M4" s="19">
        <v>45080</v>
      </c>
      <c r="N4">
        <v>107</v>
      </c>
      <c r="O4" t="s">
        <v>398</v>
      </c>
    </row>
    <row r="5" spans="1:15" x14ac:dyDescent="0.35">
      <c r="A5" s="19">
        <v>46062</v>
      </c>
      <c r="B5">
        <v>282</v>
      </c>
      <c r="C5" t="s">
        <v>107</v>
      </c>
      <c r="E5" s="19">
        <v>46017</v>
      </c>
      <c r="F5">
        <v>234</v>
      </c>
      <c r="G5" t="s">
        <v>527</v>
      </c>
      <c r="I5" s="19">
        <v>45449</v>
      </c>
      <c r="J5">
        <v>184</v>
      </c>
      <c r="K5" t="s">
        <v>399</v>
      </c>
      <c r="M5" s="19">
        <v>45027</v>
      </c>
      <c r="N5">
        <v>77</v>
      </c>
      <c r="O5" t="s">
        <v>398</v>
      </c>
    </row>
    <row r="6" spans="1:15" x14ac:dyDescent="0.35">
      <c r="E6" s="19">
        <v>45951</v>
      </c>
      <c r="F6" s="20">
        <v>310</v>
      </c>
      <c r="G6" t="s">
        <v>362</v>
      </c>
      <c r="I6" s="19">
        <v>45456</v>
      </c>
      <c r="J6">
        <v>104</v>
      </c>
      <c r="K6" t="s">
        <v>474</v>
      </c>
      <c r="M6" s="19">
        <v>44985</v>
      </c>
      <c r="N6">
        <v>100</v>
      </c>
      <c r="O6" t="s">
        <v>399</v>
      </c>
    </row>
    <row r="7" spans="1:15" x14ac:dyDescent="0.35">
      <c r="E7" s="19">
        <v>45868</v>
      </c>
      <c r="F7">
        <v>265</v>
      </c>
      <c r="G7" t="s">
        <v>398</v>
      </c>
      <c r="I7" s="19">
        <v>45458</v>
      </c>
      <c r="J7">
        <v>77</v>
      </c>
      <c r="K7" t="s">
        <v>475</v>
      </c>
      <c r="M7" s="19">
        <v>44958</v>
      </c>
      <c r="N7">
        <v>96</v>
      </c>
      <c r="O7" t="s">
        <v>399</v>
      </c>
    </row>
    <row r="8" spans="1:15" x14ac:dyDescent="0.35">
      <c r="A8" t="s">
        <v>482</v>
      </c>
      <c r="B8" s="26">
        <f>SUM(B3:B7)</f>
        <v>475</v>
      </c>
      <c r="E8" s="19">
        <v>45709</v>
      </c>
      <c r="F8">
        <v>286</v>
      </c>
      <c r="G8" t="s">
        <v>107</v>
      </c>
      <c r="I8" s="19">
        <v>45477</v>
      </c>
      <c r="J8">
        <v>391</v>
      </c>
      <c r="K8" t="s">
        <v>398</v>
      </c>
      <c r="M8" s="19">
        <v>44937</v>
      </c>
      <c r="N8">
        <v>115</v>
      </c>
      <c r="O8" t="s">
        <v>399</v>
      </c>
    </row>
    <row r="9" spans="1:15" x14ac:dyDescent="0.35">
      <c r="A9" t="s">
        <v>573</v>
      </c>
      <c r="E9" s="19">
        <v>45709</v>
      </c>
      <c r="F9">
        <v>572</v>
      </c>
      <c r="G9" t="s">
        <v>398</v>
      </c>
      <c r="I9" s="19">
        <v>45477</v>
      </c>
      <c r="J9">
        <v>212</v>
      </c>
      <c r="K9" t="s">
        <v>398</v>
      </c>
      <c r="M9" s="19">
        <v>45271</v>
      </c>
      <c r="N9">
        <v>84</v>
      </c>
      <c r="O9" t="s">
        <v>109</v>
      </c>
    </row>
    <row r="10" spans="1:15" x14ac:dyDescent="0.35">
      <c r="A10" t="s">
        <v>574</v>
      </c>
      <c r="E10" s="19">
        <v>45709</v>
      </c>
      <c r="F10">
        <v>252</v>
      </c>
      <c r="G10" t="s">
        <v>474</v>
      </c>
      <c r="I10" s="19">
        <v>45381</v>
      </c>
      <c r="J10">
        <v>202</v>
      </c>
      <c r="K10" t="s">
        <v>398</v>
      </c>
      <c r="M10" s="19">
        <v>45268</v>
      </c>
      <c r="N10">
        <v>70</v>
      </c>
      <c r="O10" t="s">
        <v>109</v>
      </c>
    </row>
    <row r="11" spans="1:15" x14ac:dyDescent="0.35">
      <c r="A11" t="s">
        <v>576</v>
      </c>
      <c r="C11" t="s">
        <v>579</v>
      </c>
      <c r="E11" s="19">
        <v>45696</v>
      </c>
      <c r="F11" s="20">
        <v>66</v>
      </c>
      <c r="G11" t="s">
        <v>473</v>
      </c>
      <c r="I11" s="19">
        <v>45477</v>
      </c>
      <c r="J11">
        <v>203</v>
      </c>
      <c r="K11" t="s">
        <v>476</v>
      </c>
      <c r="M11" s="19">
        <v>45268</v>
      </c>
      <c r="N11">
        <v>30</v>
      </c>
      <c r="O11" t="s">
        <v>109</v>
      </c>
    </row>
    <row r="12" spans="1:15" x14ac:dyDescent="0.35">
      <c r="A12" t="s">
        <v>575</v>
      </c>
      <c r="C12" t="s">
        <v>578</v>
      </c>
      <c r="I12" s="19">
        <v>45480</v>
      </c>
      <c r="J12">
        <v>139</v>
      </c>
      <c r="K12" t="s">
        <v>477</v>
      </c>
      <c r="M12" s="19">
        <v>45238</v>
      </c>
      <c r="N12">
        <v>181</v>
      </c>
      <c r="O12" t="s">
        <v>109</v>
      </c>
    </row>
    <row r="13" spans="1:15" x14ac:dyDescent="0.35">
      <c r="A13" t="s">
        <v>577</v>
      </c>
      <c r="E13" s="16" t="s">
        <v>482</v>
      </c>
      <c r="F13" s="25">
        <f>SUM(F3:F11)</f>
        <v>3229</v>
      </c>
      <c r="M13" s="16" t="s">
        <v>482</v>
      </c>
      <c r="N13" s="26">
        <f>SUM(N3:N12)</f>
        <v>995</v>
      </c>
    </row>
    <row r="14" spans="1:15" x14ac:dyDescent="0.35">
      <c r="I14" s="16" t="s">
        <v>482</v>
      </c>
      <c r="J14" s="26">
        <f>SUM(J3:J12)</f>
        <v>2136</v>
      </c>
    </row>
    <row r="15" spans="1:15" x14ac:dyDescent="0.35">
      <c r="A15" s="16">
        <v>2022</v>
      </c>
      <c r="B15" s="16" t="s">
        <v>472</v>
      </c>
      <c r="C15" s="16" t="s">
        <v>471</v>
      </c>
      <c r="E15" s="16">
        <v>2021</v>
      </c>
      <c r="F15" s="16" t="s">
        <v>472</v>
      </c>
      <c r="G15" s="16" t="s">
        <v>471</v>
      </c>
    </row>
    <row r="16" spans="1:15" x14ac:dyDescent="0.35">
      <c r="A16" s="19">
        <v>45346</v>
      </c>
      <c r="B16">
        <v>124</v>
      </c>
      <c r="C16" t="s">
        <v>107</v>
      </c>
      <c r="E16" s="19">
        <v>44519</v>
      </c>
      <c r="F16">
        <v>151</v>
      </c>
      <c r="G16" t="s">
        <v>107</v>
      </c>
      <c r="I16" s="16">
        <v>2020</v>
      </c>
      <c r="J16" s="16" t="s">
        <v>472</v>
      </c>
      <c r="K16" s="16" t="s">
        <v>471</v>
      </c>
    </row>
    <row r="17" spans="1:11" x14ac:dyDescent="0.35">
      <c r="A17" s="19">
        <v>44586</v>
      </c>
      <c r="B17">
        <v>330</v>
      </c>
      <c r="C17" t="s">
        <v>398</v>
      </c>
      <c r="E17" s="19">
        <v>44456</v>
      </c>
      <c r="F17">
        <v>394</v>
      </c>
      <c r="G17" t="s">
        <v>107</v>
      </c>
      <c r="I17" s="19">
        <v>44109</v>
      </c>
      <c r="J17">
        <v>142</v>
      </c>
      <c r="K17" t="s">
        <v>398</v>
      </c>
    </row>
    <row r="18" spans="1:11" x14ac:dyDescent="0.35">
      <c r="A18" s="19">
        <v>44902</v>
      </c>
      <c r="B18">
        <v>87</v>
      </c>
      <c r="C18" t="s">
        <v>399</v>
      </c>
      <c r="E18" s="19">
        <v>44359</v>
      </c>
      <c r="F18">
        <v>42</v>
      </c>
      <c r="G18" t="s">
        <v>107</v>
      </c>
      <c r="I18" s="19">
        <v>44059</v>
      </c>
      <c r="J18">
        <v>71</v>
      </c>
      <c r="K18" t="s">
        <v>398</v>
      </c>
    </row>
    <row r="19" spans="1:11" x14ac:dyDescent="0.35">
      <c r="A19" s="19">
        <v>44849</v>
      </c>
      <c r="B19">
        <v>97</v>
      </c>
      <c r="C19" t="s">
        <v>399</v>
      </c>
      <c r="E19" s="19">
        <v>44359</v>
      </c>
      <c r="F19">
        <v>220</v>
      </c>
      <c r="G19" t="s">
        <v>107</v>
      </c>
      <c r="I19" s="19">
        <v>43985</v>
      </c>
      <c r="J19">
        <v>198</v>
      </c>
      <c r="K19" t="s">
        <v>398</v>
      </c>
    </row>
    <row r="20" spans="1:11" x14ac:dyDescent="0.35">
      <c r="E20" s="19">
        <v>44368</v>
      </c>
      <c r="F20">
        <v>110</v>
      </c>
      <c r="G20" t="s">
        <v>107</v>
      </c>
      <c r="I20" s="19">
        <v>43957</v>
      </c>
      <c r="J20">
        <v>158</v>
      </c>
      <c r="K20" t="s">
        <v>398</v>
      </c>
    </row>
    <row r="21" spans="1:11" x14ac:dyDescent="0.35">
      <c r="A21" s="16" t="s">
        <v>482</v>
      </c>
      <c r="B21" s="26">
        <f>SUM(B16:B20)</f>
        <v>638</v>
      </c>
      <c r="E21" s="19">
        <v>44533</v>
      </c>
      <c r="F21">
        <v>238</v>
      </c>
      <c r="G21" t="s">
        <v>398</v>
      </c>
      <c r="I21" s="19">
        <v>43903</v>
      </c>
      <c r="J21">
        <v>116</v>
      </c>
      <c r="K21" t="s">
        <v>398</v>
      </c>
    </row>
    <row r="22" spans="1:11" x14ac:dyDescent="0.35">
      <c r="E22" s="27">
        <v>44514</v>
      </c>
      <c r="F22" s="28">
        <v>140</v>
      </c>
      <c r="G22" t="s">
        <v>398</v>
      </c>
      <c r="I22" s="19">
        <v>44173</v>
      </c>
      <c r="J22">
        <v>335</v>
      </c>
      <c r="K22" t="s">
        <v>399</v>
      </c>
    </row>
    <row r="23" spans="1:11" x14ac:dyDescent="0.35">
      <c r="E23" s="19">
        <v>44491</v>
      </c>
      <c r="F23">
        <v>209</v>
      </c>
      <c r="G23" t="s">
        <v>398</v>
      </c>
      <c r="I23" s="19">
        <v>44172</v>
      </c>
      <c r="J23">
        <v>35</v>
      </c>
      <c r="K23" t="s">
        <v>399</v>
      </c>
    </row>
    <row r="24" spans="1:11" x14ac:dyDescent="0.35">
      <c r="E24" s="19">
        <v>44451</v>
      </c>
      <c r="F24">
        <v>135</v>
      </c>
      <c r="G24" t="s">
        <v>398</v>
      </c>
      <c r="I24" s="19">
        <v>44171</v>
      </c>
      <c r="J24">
        <v>196</v>
      </c>
      <c r="K24" t="s">
        <v>399</v>
      </c>
    </row>
    <row r="25" spans="1:11" x14ac:dyDescent="0.35">
      <c r="E25" s="19">
        <v>44362</v>
      </c>
      <c r="F25">
        <v>139</v>
      </c>
      <c r="G25" t="s">
        <v>398</v>
      </c>
      <c r="I25" s="19">
        <v>44152</v>
      </c>
      <c r="J25">
        <v>82</v>
      </c>
      <c r="K25" t="s">
        <v>399</v>
      </c>
    </row>
    <row r="26" spans="1:11" x14ac:dyDescent="0.35">
      <c r="E26" s="19">
        <v>44202</v>
      </c>
      <c r="F26">
        <v>129</v>
      </c>
      <c r="G26" t="s">
        <v>398</v>
      </c>
      <c r="I26" s="19">
        <v>44152</v>
      </c>
      <c r="J26">
        <v>130</v>
      </c>
      <c r="K26" t="s">
        <v>399</v>
      </c>
    </row>
    <row r="27" spans="1:11" x14ac:dyDescent="0.35">
      <c r="E27" s="19">
        <v>44515</v>
      </c>
      <c r="F27">
        <v>36</v>
      </c>
      <c r="G27" t="s">
        <v>399</v>
      </c>
      <c r="I27" s="19">
        <v>44082</v>
      </c>
      <c r="J27">
        <v>54</v>
      </c>
      <c r="K27" t="s">
        <v>399</v>
      </c>
    </row>
    <row r="28" spans="1:11" x14ac:dyDescent="0.35">
      <c r="E28" s="19">
        <v>44452</v>
      </c>
      <c r="F28">
        <v>200</v>
      </c>
      <c r="G28" t="s">
        <v>399</v>
      </c>
      <c r="I28" s="19">
        <v>44028</v>
      </c>
      <c r="J28">
        <v>74</v>
      </c>
      <c r="K28" t="s">
        <v>399</v>
      </c>
    </row>
    <row r="29" spans="1:11" x14ac:dyDescent="0.35">
      <c r="E29" s="19">
        <v>44433</v>
      </c>
      <c r="F29">
        <v>53</v>
      </c>
      <c r="G29" t="s">
        <v>399</v>
      </c>
      <c r="I29" s="19">
        <v>43988</v>
      </c>
      <c r="J29">
        <v>45</v>
      </c>
      <c r="K29" t="s">
        <v>399</v>
      </c>
    </row>
    <row r="30" spans="1:11" x14ac:dyDescent="0.35">
      <c r="E30" s="19">
        <v>44230</v>
      </c>
      <c r="F30">
        <v>130</v>
      </c>
      <c r="G30" t="s">
        <v>399</v>
      </c>
    </row>
    <row r="31" spans="1:11" x14ac:dyDescent="0.35">
      <c r="E31" s="19">
        <v>44204</v>
      </c>
      <c r="F31">
        <v>150</v>
      </c>
      <c r="G31" t="s">
        <v>399</v>
      </c>
      <c r="I31" s="16" t="s">
        <v>482</v>
      </c>
      <c r="J31" s="26">
        <f>SUM(J17:J30)</f>
        <v>1636</v>
      </c>
    </row>
    <row r="32" spans="1:11" x14ac:dyDescent="0.35">
      <c r="E32" s="19">
        <v>44386</v>
      </c>
      <c r="F32">
        <v>204</v>
      </c>
      <c r="G32" t="s">
        <v>474</v>
      </c>
    </row>
    <row r="33" spans="1:7" x14ac:dyDescent="0.35">
      <c r="E33" s="19">
        <v>44515</v>
      </c>
      <c r="F33">
        <v>119</v>
      </c>
      <c r="G33" t="s">
        <v>109</v>
      </c>
    </row>
    <row r="34" spans="1:7" x14ac:dyDescent="0.35">
      <c r="A34" s="16" t="s">
        <v>536</v>
      </c>
      <c r="B34" s="16"/>
      <c r="E34" s="19">
        <v>44381</v>
      </c>
      <c r="F34">
        <v>48</v>
      </c>
      <c r="G34" t="s">
        <v>109</v>
      </c>
    </row>
    <row r="35" spans="1:7" x14ac:dyDescent="0.35">
      <c r="A35" s="16">
        <v>2026</v>
      </c>
      <c r="B35" s="26">
        <f>B8</f>
        <v>475</v>
      </c>
    </row>
    <row r="36" spans="1:7" x14ac:dyDescent="0.35">
      <c r="A36" s="16">
        <v>2025</v>
      </c>
      <c r="B36" s="25">
        <f>F13</f>
        <v>3229</v>
      </c>
      <c r="E36" s="16" t="s">
        <v>482</v>
      </c>
      <c r="F36" s="26">
        <f>SUM(F16:F34)</f>
        <v>2847</v>
      </c>
    </row>
    <row r="37" spans="1:7" x14ac:dyDescent="0.35">
      <c r="A37" s="16">
        <v>2024</v>
      </c>
      <c r="B37" s="26">
        <f>J14</f>
        <v>2136</v>
      </c>
    </row>
    <row r="38" spans="1:7" x14ac:dyDescent="0.35">
      <c r="A38" s="16">
        <v>2023</v>
      </c>
      <c r="B38" s="26">
        <f>N13</f>
        <v>995</v>
      </c>
    </row>
    <row r="39" spans="1:7" x14ac:dyDescent="0.35">
      <c r="A39" s="16">
        <v>2022</v>
      </c>
      <c r="B39" s="26">
        <f>B21</f>
        <v>638</v>
      </c>
    </row>
    <row r="40" spans="1:7" x14ac:dyDescent="0.35">
      <c r="A40" s="16">
        <v>2021</v>
      </c>
      <c r="B40" s="26">
        <f>F36</f>
        <v>2847</v>
      </c>
    </row>
    <row r="41" spans="1:7" x14ac:dyDescent="0.35">
      <c r="A41" s="16">
        <v>2020</v>
      </c>
      <c r="B41" s="26">
        <f>J31</f>
        <v>1636</v>
      </c>
    </row>
    <row r="42" spans="1:7" x14ac:dyDescent="0.35">
      <c r="B42" s="25">
        <v>500</v>
      </c>
      <c r="C42" t="s">
        <v>565</v>
      </c>
    </row>
    <row r="43" spans="1:7" x14ac:dyDescent="0.35">
      <c r="B43" s="29">
        <f>SUM(B35:B42)</f>
        <v>12456</v>
      </c>
    </row>
    <row r="45" spans="1:7" x14ac:dyDescent="0.35">
      <c r="A45" s="16" t="s">
        <v>564</v>
      </c>
      <c r="B45" s="30">
        <f>B43/7</f>
        <v>1779.4285714285713</v>
      </c>
    </row>
    <row r="47" spans="1:7" x14ac:dyDescent="0.35">
      <c r="A47" s="16" t="s">
        <v>537</v>
      </c>
      <c r="B47" s="16"/>
      <c r="C47" s="16"/>
    </row>
    <row r="48" spans="1:7" x14ac:dyDescent="0.35">
      <c r="A48" s="30">
        <f>B43/302</f>
        <v>41.245033112582782</v>
      </c>
    </row>
    <row r="52" spans="1:8" x14ac:dyDescent="0.35">
      <c r="A52">
        <v>252</v>
      </c>
      <c r="B52" t="s">
        <v>474</v>
      </c>
      <c r="C52">
        <f>SUM(A52:A54)</f>
        <v>560</v>
      </c>
      <c r="E52" s="16" t="s">
        <v>572</v>
      </c>
      <c r="F52" s="16"/>
      <c r="G52" s="16"/>
      <c r="H52" s="16"/>
    </row>
    <row r="53" spans="1:8" x14ac:dyDescent="0.35">
      <c r="A53">
        <v>104</v>
      </c>
      <c r="B53" t="s">
        <v>474</v>
      </c>
      <c r="E53" t="s">
        <v>398</v>
      </c>
      <c r="F53">
        <v>5442</v>
      </c>
    </row>
    <row r="54" spans="1:8" x14ac:dyDescent="0.35">
      <c r="A54">
        <v>204</v>
      </c>
      <c r="B54" t="s">
        <v>474</v>
      </c>
      <c r="E54" t="s">
        <v>399</v>
      </c>
      <c r="F54">
        <v>2334</v>
      </c>
    </row>
    <row r="55" spans="1:8" x14ac:dyDescent="0.35">
      <c r="E55" t="s">
        <v>107</v>
      </c>
      <c r="F55">
        <v>1609</v>
      </c>
    </row>
    <row r="56" spans="1:8" x14ac:dyDescent="0.35">
      <c r="A56">
        <v>15</v>
      </c>
      <c r="B56" t="s">
        <v>554</v>
      </c>
      <c r="C56">
        <v>15</v>
      </c>
    </row>
    <row r="58" spans="1:8" x14ac:dyDescent="0.35">
      <c r="A58">
        <v>139</v>
      </c>
      <c r="B58" t="s">
        <v>477</v>
      </c>
      <c r="C58">
        <v>139</v>
      </c>
    </row>
    <row r="60" spans="1:8" x14ac:dyDescent="0.35">
      <c r="A60">
        <v>84</v>
      </c>
      <c r="B60" t="s">
        <v>109</v>
      </c>
      <c r="C60">
        <f>SUM(A60:A65)</f>
        <v>532</v>
      </c>
    </row>
    <row r="61" spans="1:8" x14ac:dyDescent="0.35">
      <c r="A61">
        <v>70</v>
      </c>
      <c r="B61" t="s">
        <v>109</v>
      </c>
    </row>
    <row r="62" spans="1:8" x14ac:dyDescent="0.35">
      <c r="A62">
        <v>30</v>
      </c>
      <c r="B62" t="s">
        <v>109</v>
      </c>
    </row>
    <row r="63" spans="1:8" x14ac:dyDescent="0.35">
      <c r="A63">
        <v>181</v>
      </c>
      <c r="B63" t="s">
        <v>109</v>
      </c>
    </row>
    <row r="64" spans="1:8" x14ac:dyDescent="0.35">
      <c r="A64">
        <v>119</v>
      </c>
      <c r="B64" t="s">
        <v>109</v>
      </c>
    </row>
    <row r="65" spans="1:3" x14ac:dyDescent="0.35">
      <c r="A65">
        <v>48</v>
      </c>
      <c r="B65" t="s">
        <v>109</v>
      </c>
    </row>
    <row r="67" spans="1:3" x14ac:dyDescent="0.35">
      <c r="A67">
        <v>282</v>
      </c>
      <c r="B67" t="s">
        <v>107</v>
      </c>
      <c r="C67">
        <f>SUM(A67:A74)</f>
        <v>1609</v>
      </c>
    </row>
    <row r="68" spans="1:3" x14ac:dyDescent="0.35">
      <c r="A68">
        <v>286</v>
      </c>
      <c r="B68" t="s">
        <v>107</v>
      </c>
    </row>
    <row r="69" spans="1:3" x14ac:dyDescent="0.35">
      <c r="A69">
        <v>124</v>
      </c>
      <c r="B69" t="s">
        <v>107</v>
      </c>
    </row>
    <row r="70" spans="1:3" x14ac:dyDescent="0.35">
      <c r="A70">
        <v>151</v>
      </c>
      <c r="B70" t="s">
        <v>107</v>
      </c>
    </row>
    <row r="71" spans="1:3" x14ac:dyDescent="0.35">
      <c r="A71">
        <v>394</v>
      </c>
      <c r="B71" t="s">
        <v>107</v>
      </c>
    </row>
    <row r="72" spans="1:3" x14ac:dyDescent="0.35">
      <c r="A72">
        <v>42</v>
      </c>
      <c r="B72" t="s">
        <v>107</v>
      </c>
    </row>
    <row r="73" spans="1:3" x14ac:dyDescent="0.35">
      <c r="A73">
        <v>220</v>
      </c>
      <c r="B73" t="s">
        <v>107</v>
      </c>
    </row>
    <row r="74" spans="1:3" x14ac:dyDescent="0.35">
      <c r="A74">
        <v>110</v>
      </c>
      <c r="B74" t="s">
        <v>107</v>
      </c>
    </row>
    <row r="76" spans="1:3" x14ac:dyDescent="0.35">
      <c r="A76">
        <v>178</v>
      </c>
      <c r="B76" t="s">
        <v>398</v>
      </c>
      <c r="C76">
        <f>SUM(A76:A98)</f>
        <v>5442</v>
      </c>
    </row>
    <row r="77" spans="1:3" x14ac:dyDescent="0.35">
      <c r="A77">
        <v>809</v>
      </c>
      <c r="B77" t="s">
        <v>398</v>
      </c>
    </row>
    <row r="78" spans="1:3" x14ac:dyDescent="0.35">
      <c r="A78">
        <v>265</v>
      </c>
      <c r="B78" t="s">
        <v>398</v>
      </c>
    </row>
    <row r="79" spans="1:3" x14ac:dyDescent="0.35">
      <c r="A79">
        <v>572</v>
      </c>
      <c r="B79" t="s">
        <v>398</v>
      </c>
    </row>
    <row r="80" spans="1:3" x14ac:dyDescent="0.35">
      <c r="A80">
        <v>519</v>
      </c>
      <c r="B80" t="s">
        <v>398</v>
      </c>
    </row>
    <row r="81" spans="1:2" x14ac:dyDescent="0.35">
      <c r="A81">
        <v>105</v>
      </c>
      <c r="B81" t="s">
        <v>398</v>
      </c>
    </row>
    <row r="82" spans="1:2" x14ac:dyDescent="0.35">
      <c r="A82">
        <v>391</v>
      </c>
      <c r="B82" t="s">
        <v>398</v>
      </c>
    </row>
    <row r="83" spans="1:2" x14ac:dyDescent="0.35">
      <c r="A83">
        <v>212</v>
      </c>
      <c r="B83" t="s">
        <v>398</v>
      </c>
    </row>
    <row r="84" spans="1:2" x14ac:dyDescent="0.35">
      <c r="A84">
        <v>202</v>
      </c>
      <c r="B84" t="s">
        <v>398</v>
      </c>
    </row>
    <row r="85" spans="1:2" x14ac:dyDescent="0.35">
      <c r="A85">
        <v>107</v>
      </c>
      <c r="B85" t="s">
        <v>398</v>
      </c>
    </row>
    <row r="86" spans="1:2" x14ac:dyDescent="0.35">
      <c r="A86">
        <v>77</v>
      </c>
      <c r="B86" t="s">
        <v>398</v>
      </c>
    </row>
    <row r="87" spans="1:2" x14ac:dyDescent="0.35">
      <c r="A87">
        <v>330</v>
      </c>
      <c r="B87" t="s">
        <v>398</v>
      </c>
    </row>
    <row r="88" spans="1:2" x14ac:dyDescent="0.35">
      <c r="A88">
        <v>238</v>
      </c>
      <c r="B88" t="s">
        <v>398</v>
      </c>
    </row>
    <row r="89" spans="1:2" x14ac:dyDescent="0.35">
      <c r="A89">
        <v>140</v>
      </c>
      <c r="B89" t="s">
        <v>398</v>
      </c>
    </row>
    <row r="90" spans="1:2" x14ac:dyDescent="0.35">
      <c r="A90">
        <v>209</v>
      </c>
      <c r="B90" t="s">
        <v>398</v>
      </c>
    </row>
    <row r="91" spans="1:2" x14ac:dyDescent="0.35">
      <c r="A91">
        <v>135</v>
      </c>
      <c r="B91" t="s">
        <v>398</v>
      </c>
    </row>
    <row r="92" spans="1:2" x14ac:dyDescent="0.35">
      <c r="A92">
        <v>139</v>
      </c>
      <c r="B92" t="s">
        <v>398</v>
      </c>
    </row>
    <row r="93" spans="1:2" x14ac:dyDescent="0.35">
      <c r="A93">
        <v>129</v>
      </c>
      <c r="B93" t="s">
        <v>398</v>
      </c>
    </row>
    <row r="94" spans="1:2" x14ac:dyDescent="0.35">
      <c r="A94">
        <v>142</v>
      </c>
      <c r="B94" t="s">
        <v>398</v>
      </c>
    </row>
    <row r="95" spans="1:2" x14ac:dyDescent="0.35">
      <c r="A95">
        <v>71</v>
      </c>
      <c r="B95" t="s">
        <v>398</v>
      </c>
    </row>
    <row r="96" spans="1:2" x14ac:dyDescent="0.35">
      <c r="A96">
        <v>198</v>
      </c>
      <c r="B96" t="s">
        <v>398</v>
      </c>
    </row>
    <row r="97" spans="1:3" x14ac:dyDescent="0.35">
      <c r="A97">
        <v>158</v>
      </c>
      <c r="B97" t="s">
        <v>398</v>
      </c>
    </row>
    <row r="98" spans="1:3" x14ac:dyDescent="0.35">
      <c r="A98">
        <v>116</v>
      </c>
      <c r="B98" t="s">
        <v>398</v>
      </c>
    </row>
    <row r="100" spans="1:3" x14ac:dyDescent="0.35">
      <c r="A100">
        <v>184</v>
      </c>
      <c r="B100" t="s">
        <v>399</v>
      </c>
      <c r="C100">
        <f>SUM(A100:A119)</f>
        <v>2334</v>
      </c>
    </row>
    <row r="101" spans="1:3" x14ac:dyDescent="0.35">
      <c r="A101">
        <v>135</v>
      </c>
      <c r="B101" t="s">
        <v>399</v>
      </c>
    </row>
    <row r="102" spans="1:3" x14ac:dyDescent="0.35">
      <c r="A102">
        <v>100</v>
      </c>
      <c r="B102" t="s">
        <v>399</v>
      </c>
    </row>
    <row r="103" spans="1:3" x14ac:dyDescent="0.35">
      <c r="A103">
        <v>96</v>
      </c>
      <c r="B103" t="s">
        <v>399</v>
      </c>
    </row>
    <row r="104" spans="1:3" x14ac:dyDescent="0.35">
      <c r="A104">
        <v>115</v>
      </c>
      <c r="B104" t="s">
        <v>399</v>
      </c>
    </row>
    <row r="105" spans="1:3" x14ac:dyDescent="0.35">
      <c r="A105">
        <v>87</v>
      </c>
      <c r="B105" t="s">
        <v>399</v>
      </c>
    </row>
    <row r="106" spans="1:3" x14ac:dyDescent="0.35">
      <c r="A106">
        <v>97</v>
      </c>
      <c r="B106" t="s">
        <v>399</v>
      </c>
    </row>
    <row r="107" spans="1:3" x14ac:dyDescent="0.35">
      <c r="A107">
        <v>36</v>
      </c>
      <c r="B107" t="s">
        <v>399</v>
      </c>
    </row>
    <row r="108" spans="1:3" x14ac:dyDescent="0.35">
      <c r="A108">
        <v>200</v>
      </c>
      <c r="B108" t="s">
        <v>399</v>
      </c>
    </row>
    <row r="109" spans="1:3" x14ac:dyDescent="0.35">
      <c r="A109">
        <v>53</v>
      </c>
      <c r="B109" t="s">
        <v>399</v>
      </c>
    </row>
    <row r="110" spans="1:3" x14ac:dyDescent="0.35">
      <c r="A110">
        <v>130</v>
      </c>
      <c r="B110" t="s">
        <v>399</v>
      </c>
    </row>
    <row r="111" spans="1:3" x14ac:dyDescent="0.35">
      <c r="A111">
        <v>150</v>
      </c>
      <c r="B111" t="s">
        <v>399</v>
      </c>
    </row>
    <row r="112" spans="1:3" x14ac:dyDescent="0.35">
      <c r="A112">
        <v>335</v>
      </c>
      <c r="B112" t="s">
        <v>399</v>
      </c>
    </row>
    <row r="113" spans="1:3" x14ac:dyDescent="0.35">
      <c r="A113">
        <v>35</v>
      </c>
      <c r="B113" t="s">
        <v>399</v>
      </c>
    </row>
    <row r="114" spans="1:3" x14ac:dyDescent="0.35">
      <c r="A114">
        <v>196</v>
      </c>
      <c r="B114" t="s">
        <v>399</v>
      </c>
    </row>
    <row r="115" spans="1:3" x14ac:dyDescent="0.35">
      <c r="A115">
        <v>82</v>
      </c>
      <c r="B115" t="s">
        <v>399</v>
      </c>
    </row>
    <row r="116" spans="1:3" x14ac:dyDescent="0.35">
      <c r="A116">
        <v>130</v>
      </c>
      <c r="B116" t="s">
        <v>399</v>
      </c>
    </row>
    <row r="117" spans="1:3" x14ac:dyDescent="0.35">
      <c r="A117">
        <v>54</v>
      </c>
      <c r="B117" t="s">
        <v>399</v>
      </c>
    </row>
    <row r="118" spans="1:3" x14ac:dyDescent="0.35">
      <c r="A118">
        <v>74</v>
      </c>
      <c r="B118" t="s">
        <v>399</v>
      </c>
    </row>
    <row r="119" spans="1:3" x14ac:dyDescent="0.35">
      <c r="A119">
        <v>45</v>
      </c>
      <c r="B119" t="s">
        <v>399</v>
      </c>
    </row>
    <row r="121" spans="1:3" x14ac:dyDescent="0.35">
      <c r="A121">
        <v>435</v>
      </c>
      <c r="B121" t="s">
        <v>530</v>
      </c>
      <c r="C121">
        <f>SUM(A121:A122)</f>
        <v>638</v>
      </c>
    </row>
    <row r="122" spans="1:3" x14ac:dyDescent="0.35">
      <c r="A122">
        <v>203</v>
      </c>
      <c r="B122" t="s">
        <v>476</v>
      </c>
    </row>
    <row r="124" spans="1:3" x14ac:dyDescent="0.35">
      <c r="A124">
        <v>234</v>
      </c>
      <c r="B124" t="s">
        <v>527</v>
      </c>
      <c r="C124">
        <v>234</v>
      </c>
    </row>
    <row r="126" spans="1:3" x14ac:dyDescent="0.35">
      <c r="A126">
        <v>310</v>
      </c>
      <c r="B126" t="s">
        <v>362</v>
      </c>
      <c r="C126">
        <v>310</v>
      </c>
    </row>
    <row r="128" spans="1:3" x14ac:dyDescent="0.35">
      <c r="A128">
        <v>66</v>
      </c>
      <c r="B128" t="s">
        <v>571</v>
      </c>
      <c r="C128">
        <v>66</v>
      </c>
    </row>
    <row r="130" spans="1:3" x14ac:dyDescent="0.35">
      <c r="A130">
        <v>77</v>
      </c>
      <c r="B130" t="s">
        <v>475</v>
      </c>
      <c r="C130">
        <v>77</v>
      </c>
    </row>
  </sheetData>
  <sortState ref="A52:B130">
    <sortCondition ref="B52"/>
  </sortState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CDA1993948CD49A3451C7E10E10170" ma:contentTypeVersion="13" ma:contentTypeDescription="Create a new document." ma:contentTypeScope="" ma:versionID="4ced139b79182bd5bd2bd8e37ec0af7c">
  <xsd:schema xmlns:xsd="http://www.w3.org/2001/XMLSchema" xmlns:xs="http://www.w3.org/2001/XMLSchema" xmlns:p="http://schemas.microsoft.com/office/2006/metadata/properties" xmlns:ns3="6dc66a80-8c15-42e2-a87c-57837f7d86d5" targetNamespace="http://schemas.microsoft.com/office/2006/metadata/properties" ma:root="true" ma:fieldsID="542f7f7399e04eb0a837058b3728c557" ns3:_="">
    <xsd:import namespace="6dc66a80-8c15-42e2-a87c-57837f7d86d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Location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66a80-8c15-42e2-a87c-57837f7d86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c66a80-8c15-42e2-a87c-57837f7d86d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C24B02-7DDB-45AE-A83B-944CFDB229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66a80-8c15-42e2-a87c-57837f7d86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928939-1560-4201-90E9-6410D71961A4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elements/1.1/"/>
    <ds:schemaRef ds:uri="6dc66a80-8c15-42e2-a87c-57837f7d86d5"/>
    <ds:schemaRef ds:uri="http://schemas.microsoft.com/office/infopath/2007/PartnerControls"/>
    <ds:schemaRef ds:uri="http://www.w3.org/XML/1998/namespace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4018E439-844C-4C30-A782-5B26F81B5A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Current Inventory</vt:lpstr>
      <vt:lpstr>Wishlist</vt:lpstr>
      <vt:lpstr>Fragrance Expenditures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Howard Griffin</dc:creator>
  <cp:lastModifiedBy>Howard Griffin</cp:lastModifiedBy>
  <dcterms:created xsi:type="dcterms:W3CDTF">2020-11-12T21:29:34Z</dcterms:created>
  <dcterms:modified xsi:type="dcterms:W3CDTF">2026-09-09T15:42:49Z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0x01010010CDA1993948CD49A3451C7E10E10170</vt:lpwstr>
  </property>
</Properties>
</file>